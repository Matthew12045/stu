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6" activeTab="10" autoFilterDateGrouping="1"/>
  </bookViews>
  <sheets>
    <sheet xmlns:r="http://schemas.openxmlformats.org/officeDocument/2006/relationships" name="Summary_v2" sheetId="1" state="visible" r:id="rId1"/>
    <sheet xmlns:r="http://schemas.openxmlformats.org/officeDocument/2006/relationships" name="L=105mm" sheetId="2" state="visible" r:id="rId2"/>
    <sheet xmlns:r="http://schemas.openxmlformats.org/officeDocument/2006/relationships" name="L=110mm" sheetId="3" state="visible" r:id="rId3"/>
    <sheet xmlns:r="http://schemas.openxmlformats.org/officeDocument/2006/relationships" name="L=110mm (1)" sheetId="4" state="visible" r:id="rId4"/>
    <sheet xmlns:r="http://schemas.openxmlformats.org/officeDocument/2006/relationships" name="L=115mm" sheetId="5" state="visible" r:id="rId5"/>
    <sheet xmlns:r="http://schemas.openxmlformats.org/officeDocument/2006/relationships" name="L=115mm (1)" sheetId="6" state="visible" r:id="rId6"/>
    <sheet xmlns:r="http://schemas.openxmlformats.org/officeDocument/2006/relationships" name="L=120mm" sheetId="7" state="visible" r:id="rId7"/>
    <sheet xmlns:r="http://schemas.openxmlformats.org/officeDocument/2006/relationships" name="L=120mm (1)" sheetId="8" state="visible" r:id="rId8"/>
    <sheet xmlns:r="http://schemas.openxmlformats.org/officeDocument/2006/relationships" name="L=125mm" sheetId="9" state="visible" r:id="rId9"/>
    <sheet xmlns:r="http://schemas.openxmlformats.org/officeDocument/2006/relationships" name="L=125mm (1)" sheetId="10" state="visible" r:id="rId10"/>
    <sheet xmlns:r="http://schemas.openxmlformats.org/officeDocument/2006/relationships" name="L=130mm" sheetId="11" state="visible" r:id="rId11"/>
    <sheet xmlns:r="http://schemas.openxmlformats.org/officeDocument/2006/relationships" name="L=130mm (1)" sheetId="12" state="visible" r:id="rId12"/>
    <sheet xmlns:r="http://schemas.openxmlformats.org/officeDocument/2006/relationships" name="Summary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\1"/>
    <numFmt numFmtId="166" formatCode="0.000000000000000000"/>
    <numFmt numFmtId="167" formatCode="0.0000000000000"/>
    <numFmt numFmtId="168" formatCode="0.00000000000"/>
    <numFmt numFmtId="169" formatCode="0.000000000000000"/>
    <numFmt numFmtId="170" formatCode="0.00000000000000000"/>
  </numFmts>
  <fonts count="35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sz val="10"/>
    </font>
    <font>
      <name val="Arial"/>
      <family val="2"/>
      <color rgb="FF595959"/>
      <sz val="9"/>
    </font>
    <font>
      <name val="Arial"/>
      <family val="2"/>
      <i val="1"/>
      <color rgb="FF595959"/>
      <sz val="9"/>
    </font>
    <font>
      <name val="Arial"/>
      <family val="2"/>
      <b val="1"/>
      <color rgb="FFC00000"/>
      <sz val="9"/>
    </font>
    <font>
      <name val="Arial"/>
      <family val="2"/>
      <b val="1"/>
      <color rgb="FFC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2"/>
    </font>
    <font>
      <name val="Arial"/>
      <charset val="1"/>
      <family val="2"/>
      <b val="1"/>
      <color rgb="FFFFFFFF"/>
      <sz val="10"/>
    </font>
    <font>
      <name val="Cambria"/>
      <family val="1"/>
      <i val="1"/>
      <color rgb="FFAAAAAA"/>
      <sz val="8"/>
    </font>
    <font>
      <name val="Arial"/>
      <charset val="1"/>
      <family val="2"/>
      <color rgb="FF000000"/>
      <sz val="10"/>
    </font>
    <font>
      <name val="Arial"/>
      <charset val="1"/>
      <family val="2"/>
      <i val="1"/>
      <color rgb="FF595959"/>
      <sz val="10"/>
    </font>
    <font>
      <name val="Cambria"/>
      <family val="1"/>
      <color rgb="FFAAAAAA"/>
      <sz val="8"/>
    </font>
    <font>
      <name val="Arial"/>
      <charset val="1"/>
      <family val="2"/>
      <b val="1"/>
      <color rgb="FF000000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sz val="10"/>
    </font>
    <font>
      <name val="Arial"/>
      <family val="2"/>
      <color rgb="FF595959"/>
      <sz val="9"/>
    </font>
    <font>
      <name val="Arial"/>
      <family val="2"/>
      <i val="1"/>
      <color rgb="FF595959"/>
      <sz val="9"/>
    </font>
    <font>
      <name val="Arial"/>
      <family val="2"/>
      <b val="1"/>
      <color rgb="FFC00000"/>
      <sz val="9"/>
    </font>
    <font>
      <name val="Arial"/>
      <family val="2"/>
      <b val="1"/>
      <color rgb="FFC00000"/>
      <sz val="10"/>
    </font>
    <font>
      <name val="Calibri"/>
      <charset val="1"/>
      <family val="2"/>
      <b val="1"/>
      <color theme="1"/>
      <sz val="11"/>
    </font>
    <font>
      <name val="Arial"/>
      <family val="2"/>
      <b val="1"/>
      <color theme="1"/>
      <sz val="11"/>
    </font>
    <font>
      <name val="Calibri"/>
      <charset val="1"/>
      <family val="2"/>
      <sz val="11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C0000"/>
      <sz val="9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49" fontId="2" fillId="3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pivotButton="0" quotePrefix="0" xfId="0"/>
    <xf numFmtId="1" fontId="8" fillId="0" borderId="0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2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2" fontId="9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1" fontId="13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66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" fontId="15" fillId="0" borderId="0" pivotButton="0" quotePrefix="0" xfId="0"/>
    <xf numFmtId="0" fontId="15" fillId="0" borderId="0" pivotButton="0" quotePrefix="0" xfId="0"/>
    <xf numFmtId="167" fontId="13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168" fontId="16" fillId="9" borderId="1" applyAlignment="1" pivotButton="0" quotePrefix="0" xfId="0">
      <alignment horizontal="center" vertical="center"/>
    </xf>
    <xf numFmtId="169" fontId="13" fillId="0" borderId="1" applyAlignment="1" pivotButton="0" quotePrefix="0" xfId="0">
      <alignment horizontal="center" vertical="center"/>
    </xf>
    <xf numFmtId="2" fontId="16" fillId="11" borderId="1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  <xf numFmtId="49" fontId="18" fillId="3" borderId="1" applyAlignment="1" pivotButton="0" quotePrefix="0" xfId="0">
      <alignment horizontal="center" vertical="center" wrapText="1"/>
    </xf>
    <xf numFmtId="1" fontId="19" fillId="0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2" fontId="19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2" fontId="19" fillId="7" borderId="1" applyAlignment="1" pivotButton="0" quotePrefix="0" xfId="0">
      <alignment horizontal="center" vertical="center"/>
    </xf>
    <xf numFmtId="2" fontId="19" fillId="4" borderId="1" applyAlignment="1" pivotButton="0" quotePrefix="0" xfId="0">
      <alignment horizontal="center" vertical="center"/>
    </xf>
    <xf numFmtId="2" fontId="19" fillId="5" borderId="1" applyAlignment="1" pivotButton="0" quotePrefix="0" xfId="0">
      <alignment horizontal="center" vertical="center"/>
    </xf>
    <xf numFmtId="0" fontId="23" fillId="0" borderId="0" pivotButton="0" quotePrefix="0" xfId="0"/>
    <xf numFmtId="1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170" fontId="19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70" fontId="0" fillId="0" borderId="0" pivotButton="0" quotePrefix="0" xfId="0"/>
    <xf numFmtId="0" fontId="21" fillId="0" borderId="0" applyAlignment="1" pivotButton="0" quotePrefix="0" xfId="0">
      <alignment horizontal="left" vertical="center"/>
    </xf>
    <xf numFmtId="168" fontId="19" fillId="7" borderId="1" applyAlignment="1" pivotButton="0" quotePrefix="0" xfId="0">
      <alignment horizontal="center" vertical="center"/>
    </xf>
    <xf numFmtId="0" fontId="26" fillId="0" borderId="1" pivotButton="0" quotePrefix="0" xfId="0"/>
    <xf numFmtId="1" fontId="27" fillId="12" borderId="1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27" fillId="12" borderId="1" applyAlignment="1" pivotButton="0" quotePrefix="0" xfId="0">
      <alignment horizontal="center"/>
    </xf>
    <xf numFmtId="49" fontId="1" fillId="2" borderId="0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0" fontId="30" fillId="15" borderId="0" applyAlignment="1" pivotButton="0" quotePrefix="0" xfId="0">
      <alignment horizontal="left" vertical="center" indent="1"/>
    </xf>
    <xf numFmtId="0" fontId="31" fillId="13" borderId="2" applyAlignment="1" pivotButton="0" quotePrefix="0" xfId="0">
      <alignment horizontal="center" vertical="center" wrapText="1"/>
    </xf>
    <xf numFmtId="0" fontId="32" fillId="16" borderId="2" applyAlignment="1" pivotButton="0" quotePrefix="0" xfId="0">
      <alignment horizontal="center" vertical="center"/>
    </xf>
    <xf numFmtId="0" fontId="32" fillId="17" borderId="2" applyAlignment="1" pivotButton="0" quotePrefix="0" xfId="0">
      <alignment horizontal="center" vertical="center"/>
    </xf>
    <xf numFmtId="0" fontId="33" fillId="17" borderId="2" applyAlignment="1" pivotButton="0" quotePrefix="0" xfId="0">
      <alignment horizontal="center" vertical="center"/>
    </xf>
    <xf numFmtId="0" fontId="32" fillId="18" borderId="2" applyAlignment="1" pivotButton="0" quotePrefix="0" xfId="0">
      <alignment horizontal="center" vertical="center"/>
    </xf>
    <xf numFmtId="0" fontId="33" fillId="16" borderId="2" applyAlignment="1" pivotButton="0" quotePrefix="0" xfId="0">
      <alignment horizontal="center" vertical="center"/>
    </xf>
    <xf numFmtId="0" fontId="32" fillId="19" borderId="2" applyAlignment="1" pivotButton="0" quotePrefix="0" xfId="0">
      <alignment horizontal="center" vertical="center"/>
    </xf>
    <xf numFmtId="0" fontId="34" fillId="18" borderId="2" applyAlignment="1" pivotButton="0" quotePrefix="0" xfId="0">
      <alignment horizontal="center" vertical="center"/>
    </xf>
    <xf numFmtId="0" fontId="32" fillId="18" borderId="2" applyAlignment="1" pivotButton="0" quotePrefix="0" xfId="0">
      <alignment horizontal="left" vertical="center" indent="1"/>
    </xf>
    <xf numFmtId="0" fontId="34" fillId="16" borderId="2" applyAlignment="1" pivotButton="0" quotePrefix="0" xfId="0">
      <alignment horizontal="center" vertical="center"/>
    </xf>
    <xf numFmtId="0" fontId="32" fillId="16" borderId="2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287867</colOff>
      <row>15</row>
      <rowOff>84667</rowOff>
    </from>
    <to>
      <col>30</col>
      <colOff>236074</colOff>
      <row>38</row>
      <rowOff>3090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06667" y="2895600"/>
          <a:ext cx="11530607" cy="41971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3" customWidth="1" min="4" max="4"/>
    <col width="13" customWidth="1" min="5" max="5"/>
    <col width="20" customWidth="1" min="6" max="6"/>
    <col width="11" customWidth="1" min="7" max="7"/>
    <col width="11" customWidth="1" min="8" max="8"/>
    <col width="12" customWidth="1" min="9" max="9"/>
    <col width="12" customWidth="1" min="10" max="10"/>
    <col width="32" customWidth="1" min="11" max="11"/>
  </cols>
  <sheetData>
    <row r="1" ht="34" customHeight="1">
      <c r="A1" s="69" t="inlineStr">
        <is>
          <t>Experiment 3 — Draw Length vs Landing Displacement  ·  Summary</t>
        </is>
      </c>
    </row>
    <row r="2" ht="18" customHeight="1">
      <c r="A2" s="70" t="inlineStr">
        <is>
          <t>11 raw-data sheets  ·  θ = 60°  ·  x_ideal = 2486 mm  ·  Compiled May 2026</t>
        </is>
      </c>
    </row>
    <row r="4" ht="20" customHeight="1">
      <c r="A4" s="71" t="inlineStr">
        <is>
          <t>SECTION 1 — Per-Run Statistical Summary</t>
        </is>
      </c>
    </row>
    <row r="5" ht="28" customHeight="1">
      <c r="A5" s="72" t="inlineStr">
        <is>
          <t>Sheet / Run</t>
        </is>
      </c>
      <c r="B5" s="72" t="inlineStr">
        <is>
          <t>L (mm)</t>
        </is>
      </c>
      <c r="C5" s="72" t="inlineStr">
        <is>
          <t>n</t>
        </is>
      </c>
      <c r="D5" s="72" t="inlineStr">
        <is>
          <t>x̄ (mm)</t>
        </is>
      </c>
      <c r="E5" s="72" t="inlineStr">
        <is>
          <t>σx (mm)</t>
        </is>
      </c>
      <c r="F5" s="72" t="inlineStr">
        <is>
          <t>95% CI x (mm)</t>
        </is>
      </c>
      <c r="G5" s="72" t="inlineStr">
        <is>
          <t>ȳ (mm)</t>
        </is>
      </c>
      <c r="H5" s="72" t="inlineStr">
        <is>
          <t>σy (mm)</t>
        </is>
      </c>
      <c r="I5" s="72" t="inlineStr">
        <is>
          <t>r̄ (mm)</t>
        </is>
      </c>
      <c r="J5" s="72" t="inlineStr">
        <is>
          <t>σr (mm)</t>
        </is>
      </c>
      <c r="K5" s="72" t="inlineStr">
        <is>
          <t>Notes</t>
        </is>
      </c>
    </row>
    <row r="6" ht="17" customHeight="1">
      <c r="A6" s="73" t="inlineStr">
        <is>
          <t>L=105mm</t>
        </is>
      </c>
      <c r="B6" s="73" t="n">
        <v>105</v>
      </c>
      <c r="C6" s="73" t="n">
        <v>15</v>
      </c>
      <c r="D6" s="73" t="n">
        <v>1548.1</v>
      </c>
      <c r="E6" s="73" t="n">
        <v>15.67</v>
      </c>
      <c r="F6" s="73" t="inlineStr">
        <is>
          <t>[1539.4, 1556.7]</t>
        </is>
      </c>
      <c r="G6" s="73" t="n">
        <v>-7.2</v>
      </c>
      <c r="H6" s="73" t="n">
        <v>12.55</v>
      </c>
      <c r="I6" s="73" t="n">
        <v>1548.1</v>
      </c>
      <c r="J6" s="73" t="n">
        <v>15.72</v>
      </c>
      <c r="K6" s="73" t="inlineStr"/>
    </row>
    <row r="7" ht="17" customHeight="1">
      <c r="A7" s="74" t="inlineStr">
        <is>
          <t>L=110mm</t>
        </is>
      </c>
      <c r="B7" s="74" t="n">
        <v>110</v>
      </c>
      <c r="C7" s="74" t="n">
        <v>15</v>
      </c>
      <c r="D7" s="74" t="n">
        <v>1562.1</v>
      </c>
      <c r="E7" s="74" t="n">
        <v>38.34</v>
      </c>
      <c r="F7" s="74" t="inlineStr">
        <is>
          <t>[1540.8, 1583.3]</t>
        </is>
      </c>
      <c r="G7" s="74" t="n">
        <v>9.6</v>
      </c>
      <c r="H7" s="74" t="n">
        <v>11.15</v>
      </c>
      <c r="I7" s="74" t="n">
        <v>1562.1</v>
      </c>
      <c r="J7" s="74" t="n">
        <v>38.35</v>
      </c>
      <c r="K7" s="75" t="inlineStr">
        <is>
          <t>⚠ High σx (38 mm) — excluded from pooled analysis</t>
        </is>
      </c>
    </row>
    <row r="8" ht="17" customHeight="1">
      <c r="A8" s="73" t="inlineStr">
        <is>
          <t>L=110mm (1)</t>
        </is>
      </c>
      <c r="B8" s="73" t="n">
        <v>110</v>
      </c>
      <c r="C8" s="73" t="n">
        <v>15</v>
      </c>
      <c r="D8" s="73" t="n">
        <v>1657.7</v>
      </c>
      <c r="E8" s="73" t="n">
        <v>17.58</v>
      </c>
      <c r="F8" s="73" t="inlineStr">
        <is>
          <t>[1647.9, 1667.4]</t>
        </is>
      </c>
      <c r="G8" s="73" t="n">
        <v>-14</v>
      </c>
      <c r="H8" s="73" t="n">
        <v>7.12</v>
      </c>
      <c r="I8" s="73" t="n">
        <v>1657.7</v>
      </c>
      <c r="J8" s="73" t="n">
        <v>17.54</v>
      </c>
      <c r="K8" s="73" t="inlineStr"/>
    </row>
    <row r="9" ht="17" customHeight="1">
      <c r="A9" s="76" t="inlineStr">
        <is>
          <t>L=115mm</t>
        </is>
      </c>
      <c r="B9" s="76" t="n">
        <v>115</v>
      </c>
      <c r="C9" s="76" t="n">
        <v>15</v>
      </c>
      <c r="D9" s="76" t="n">
        <v>1744.9</v>
      </c>
      <c r="E9" s="76" t="n">
        <v>26.58</v>
      </c>
      <c r="F9" s="76" t="inlineStr">
        <is>
          <t>[1730.1, 1759.6]</t>
        </is>
      </c>
      <c r="G9" s="76" t="n">
        <v>8.1</v>
      </c>
      <c r="H9" s="76" t="n">
        <v>13.29</v>
      </c>
      <c r="I9" s="76" t="n">
        <v>1744.9</v>
      </c>
      <c r="J9" s="76" t="n">
        <v>26.56</v>
      </c>
      <c r="K9" s="76" t="inlineStr"/>
    </row>
    <row r="10" ht="17" customHeight="1">
      <c r="A10" s="73" t="inlineStr">
        <is>
          <t>L=115mm (1)</t>
        </is>
      </c>
      <c r="B10" s="73" t="n">
        <v>115</v>
      </c>
      <c r="C10" s="73" t="n">
        <v>20</v>
      </c>
      <c r="D10" s="73" t="n">
        <v>1812.9</v>
      </c>
      <c r="E10" s="73" t="n">
        <v>25.26</v>
      </c>
      <c r="F10" s="73" t="inlineStr">
        <is>
          <t>[1800.8, 1825.0]</t>
        </is>
      </c>
      <c r="G10" s="73" t="n">
        <v>-3</v>
      </c>
      <c r="H10" s="73" t="n">
        <v>10.48</v>
      </c>
      <c r="I10" s="73" t="n">
        <v>1812.9</v>
      </c>
      <c r="J10" s="73" t="n">
        <v>25.26</v>
      </c>
      <c r="K10" s="77" t="inlineStr">
        <is>
          <t>⚠ Header says L=105mm (copy-paste error, tab name used)</t>
        </is>
      </c>
    </row>
    <row r="11" ht="17" customHeight="1">
      <c r="A11" s="76" t="inlineStr">
        <is>
          <t>L=120mm</t>
        </is>
      </c>
      <c r="B11" s="76" t="n">
        <v>120</v>
      </c>
      <c r="C11" s="76" t="n">
        <v>15</v>
      </c>
      <c r="D11" s="76" t="n">
        <v>1918.2</v>
      </c>
      <c r="E11" s="76" t="n">
        <v>28.04</v>
      </c>
      <c r="F11" s="76" t="inlineStr">
        <is>
          <t>[1902.7, 1933.7]</t>
        </is>
      </c>
      <c r="G11" s="76" t="n">
        <v>5.5</v>
      </c>
      <c r="H11" s="76" t="n">
        <v>11.19</v>
      </c>
      <c r="I11" s="76" t="n">
        <v>1918.2</v>
      </c>
      <c r="J11" s="76" t="n">
        <v>28.04</v>
      </c>
      <c r="K11" s="76" t="inlineStr"/>
    </row>
    <row r="12" ht="17" customHeight="1">
      <c r="A12" s="73" t="inlineStr">
        <is>
          <t>L=120mm (1)</t>
        </is>
      </c>
      <c r="B12" s="73" t="n">
        <v>120</v>
      </c>
      <c r="C12" s="73" t="n">
        <v>25</v>
      </c>
      <c r="D12" s="73" t="n">
        <v>1964</v>
      </c>
      <c r="E12" s="73" t="n">
        <v>28.52</v>
      </c>
      <c r="F12" s="73" t="inlineStr">
        <is>
          <t>[1951.8, 1976.3]</t>
        </is>
      </c>
      <c r="G12" s="73" t="n">
        <v>4.2</v>
      </c>
      <c r="H12" s="73" t="n">
        <v>11.77</v>
      </c>
      <c r="I12" s="73" t="n">
        <v>1964.1</v>
      </c>
      <c r="J12" s="73" t="n">
        <v>28.52</v>
      </c>
      <c r="K12" s="73" t="inlineStr"/>
    </row>
    <row r="13" ht="17" customHeight="1">
      <c r="A13" s="74" t="inlineStr">
        <is>
          <t>L=125mm</t>
        </is>
      </c>
      <c r="B13" s="74" t="n">
        <v>125</v>
      </c>
      <c r="C13" s="74" t="n">
        <v>15</v>
      </c>
      <c r="D13" s="74" t="n">
        <v>2031.1</v>
      </c>
      <c r="E13" s="74" t="n">
        <v>36.44</v>
      </c>
      <c r="F13" s="74" t="inlineStr">
        <is>
          <t>[2011.0, 2051.3]</t>
        </is>
      </c>
      <c r="G13" s="74" t="n">
        <v>-20.9</v>
      </c>
      <c r="H13" s="74" t="n">
        <v>13.14</v>
      </c>
      <c r="I13" s="74" t="n">
        <v>2031.1</v>
      </c>
      <c r="J13" s="74" t="n">
        <v>36.44</v>
      </c>
      <c r="K13" s="75" t="inlineStr">
        <is>
          <t>⚠ Header says L=120mm (copy-paste error, tab name used)</t>
        </is>
      </c>
    </row>
    <row r="14" ht="17" customHeight="1">
      <c r="A14" s="73" t="inlineStr">
        <is>
          <t>L=125mm (1)</t>
        </is>
      </c>
      <c r="B14" s="73" t="n">
        <v>125</v>
      </c>
      <c r="C14" s="73" t="n">
        <v>20</v>
      </c>
      <c r="D14" s="73" t="n">
        <v>2094.3</v>
      </c>
      <c r="E14" s="73" t="n">
        <v>24.22</v>
      </c>
      <c r="F14" s="73" t="inlineStr">
        <is>
          <t>[2082.7, 2105.9]</t>
        </is>
      </c>
      <c r="G14" s="73" t="n">
        <v>-2.5</v>
      </c>
      <c r="H14" s="73" t="n">
        <v>19.15</v>
      </c>
      <c r="I14" s="73" t="n">
        <v>2094.4</v>
      </c>
      <c r="J14" s="73" t="n">
        <v>24.24</v>
      </c>
      <c r="K14" s="73" t="inlineStr"/>
    </row>
    <row r="15" ht="17" customHeight="1">
      <c r="A15" s="74" t="inlineStr">
        <is>
          <t>L=130mm</t>
        </is>
      </c>
      <c r="B15" s="74" t="n">
        <v>130</v>
      </c>
      <c r="C15" s="74" t="n">
        <v>15</v>
      </c>
      <c r="D15" s="74" t="n">
        <v>2191.5</v>
      </c>
      <c r="E15" s="74" t="n">
        <v>42.27</v>
      </c>
      <c r="F15" s="74" t="inlineStr">
        <is>
          <t>[2168.1, 2214.9]</t>
        </is>
      </c>
      <c r="G15" s="74" t="n">
        <v>-17.2</v>
      </c>
      <c r="H15" s="74" t="n">
        <v>16.77</v>
      </c>
      <c r="I15" s="74" t="n">
        <v>2191.5</v>
      </c>
      <c r="J15" s="74" t="n">
        <v>42.27</v>
      </c>
      <c r="K15" s="75" t="inlineStr">
        <is>
          <t>⚠ Header says L=120mm (copy-paste error, tab name used)</t>
        </is>
      </c>
    </row>
    <row r="16" ht="17" customHeight="1">
      <c r="A16" s="73" t="inlineStr">
        <is>
          <t>L=130mm (1)</t>
        </is>
      </c>
      <c r="B16" s="73" t="n">
        <v>130</v>
      </c>
      <c r="C16" s="73" t="n">
        <v>15</v>
      </c>
      <c r="D16" s="73" t="n">
        <v>2208</v>
      </c>
      <c r="E16" s="73" t="n">
        <v>28.09</v>
      </c>
      <c r="F16" s="73" t="inlineStr">
        <is>
          <t>[2192.4, 2223.6]</t>
        </is>
      </c>
      <c r="G16" s="73" t="n">
        <v>-22.8</v>
      </c>
      <c r="H16" s="73" t="n">
        <v>15.58</v>
      </c>
      <c r="I16" s="73" t="n">
        <v>28.1</v>
      </c>
      <c r="J16" s="73" t="n">
        <v>2264.19</v>
      </c>
      <c r="K16" s="73" t="inlineStr"/>
    </row>
    <row r="18" ht="20" customHeight="1">
      <c r="A18" s="71" t="inlineStr">
        <is>
          <t>SECTION 2 — Pooled Statistics per Draw Length  (used for regression)</t>
        </is>
      </c>
    </row>
    <row r="19" ht="28" customHeight="1">
      <c r="A19" s="72" t="inlineStr">
        <is>
          <t>L (mm)</t>
        </is>
      </c>
      <c r="B19" s="72" t="inlineStr">
        <is>
          <t>n total</t>
        </is>
      </c>
      <c r="C19" s="72" t="inlineStr">
        <is>
          <t>x̄ pooled (mm)</t>
        </is>
      </c>
      <c r="D19" s="72" t="inlineStr">
        <is>
          <t>σx pooled (mm)</t>
        </is>
      </c>
      <c r="E19" s="72" t="inlineStr">
        <is>
          <t>ȳ pooled (mm)</t>
        </is>
      </c>
      <c r="F19" s="72" t="inlineStr">
        <is>
          <t>σy pooled (mm)</t>
        </is>
      </c>
      <c r="G19" s="72" t="inlineStr">
        <is>
          <t>SE_x (mm)</t>
        </is>
      </c>
      <c r="H19" s="72" t="inlineStr">
        <is>
          <t>95% CI x low</t>
        </is>
      </c>
      <c r="I19" s="72" t="inlineStr">
        <is>
          <t>95% CI x high</t>
        </is>
      </c>
      <c r="J19" s="72" t="inlineStr"/>
      <c r="K19" s="72" t="inlineStr">
        <is>
          <t>Notes</t>
        </is>
      </c>
    </row>
    <row r="20" ht="17" customHeight="1">
      <c r="A20" s="78" t="n">
        <v>105</v>
      </c>
      <c r="B20" s="78" t="n">
        <v>15</v>
      </c>
      <c r="C20" s="78" t="n">
        <v>1548.07</v>
      </c>
      <c r="D20" s="78" t="n">
        <v>15.67</v>
      </c>
      <c r="E20" s="78" t="n">
        <v>-7.2</v>
      </c>
      <c r="F20" s="78" t="n">
        <v>12.55</v>
      </c>
      <c r="G20" s="78" t="n">
        <v>4.047</v>
      </c>
      <c r="H20" s="78" t="n">
        <v>1539.4</v>
      </c>
      <c r="I20" s="78" t="n">
        <v>1556.7</v>
      </c>
      <c r="J20" s="78" t="inlineStr"/>
      <c r="K20" s="78" t="inlineStr">
        <is>
          <t>Single run only</t>
        </is>
      </c>
    </row>
    <row r="21" ht="17" customHeight="1">
      <c r="A21" s="76" t="n">
        <v>110</v>
      </c>
      <c r="B21" s="76" t="n">
        <v>15</v>
      </c>
      <c r="C21" s="76" t="n">
        <v>1657.67</v>
      </c>
      <c r="D21" s="76" t="n">
        <v>17.58</v>
      </c>
      <c r="E21" s="76" t="n">
        <v>-14</v>
      </c>
      <c r="F21" s="76" t="n">
        <v>7.12</v>
      </c>
      <c r="G21" s="76" t="n">
        <v>4.538</v>
      </c>
      <c r="H21" s="76" t="n">
        <v>1647.9</v>
      </c>
      <c r="I21" s="76" t="n">
        <v>1667.4</v>
      </c>
      <c r="J21" s="76" t="inlineStr"/>
      <c r="K21" s="76" t="inlineStr">
        <is>
          <t>Run 1 excluded (σx = 38 mm vs 18 mm in run 2)</t>
        </is>
      </c>
    </row>
    <row r="22" ht="17" customHeight="1">
      <c r="A22" s="78" t="n">
        <v>115</v>
      </c>
      <c r="B22" s="78" t="n">
        <v>35</v>
      </c>
      <c r="C22" s="78" t="n">
        <v>1783.74</v>
      </c>
      <c r="D22" s="78" t="n">
        <v>42.59</v>
      </c>
      <c r="E22" s="78" t="n">
        <v>1.74</v>
      </c>
      <c r="F22" s="78" t="n">
        <v>12.84</v>
      </c>
      <c r="G22" s="78" t="n">
        <v>7.2</v>
      </c>
      <c r="H22" s="78" t="n">
        <v>1768.3</v>
      </c>
      <c r="I22" s="78" t="n">
        <v>1799.2</v>
      </c>
      <c r="J22" s="78" t="inlineStr"/>
      <c r="K22" s="78" t="inlineStr"/>
    </row>
    <row r="23" ht="17" customHeight="1">
      <c r="A23" s="76" t="n">
        <v>120</v>
      </c>
      <c r="B23" s="76" t="n">
        <v>40</v>
      </c>
      <c r="C23" s="76" t="n">
        <v>1946.85</v>
      </c>
      <c r="D23" s="76" t="n">
        <v>35.89</v>
      </c>
      <c r="E23" s="76" t="n">
        <v>4.7</v>
      </c>
      <c r="F23" s="76" t="n">
        <v>11.42</v>
      </c>
      <c r="G23" s="76" t="n">
        <v>5.675</v>
      </c>
      <c r="H23" s="76" t="n">
        <v>1934.7</v>
      </c>
      <c r="I23" s="76" t="n">
        <v>1959</v>
      </c>
      <c r="J23" s="76" t="inlineStr"/>
      <c r="K23" s="76" t="inlineStr"/>
    </row>
    <row r="24" ht="17" customHeight="1">
      <c r="A24" s="78" t="n">
        <v>125</v>
      </c>
      <c r="B24" s="78" t="n">
        <v>35</v>
      </c>
      <c r="C24" s="78" t="n">
        <v>2067.23</v>
      </c>
      <c r="D24" s="78" t="n">
        <v>43.36</v>
      </c>
      <c r="E24" s="78" t="n">
        <v>-10.37</v>
      </c>
      <c r="F24" s="78" t="n">
        <v>19</v>
      </c>
      <c r="G24" s="78" t="n">
        <v>7.33</v>
      </c>
      <c r="H24" s="78" t="n">
        <v>2051.5</v>
      </c>
      <c r="I24" s="78" t="n">
        <v>2082.9</v>
      </c>
      <c r="J24" s="78" t="inlineStr"/>
      <c r="K24" s="78" t="inlineStr">
        <is>
          <t>Run 1 header mislabeled — tab name trusted</t>
        </is>
      </c>
    </row>
    <row r="25" ht="17" customHeight="1">
      <c r="A25" s="76" t="n">
        <v>130</v>
      </c>
      <c r="B25" s="76" t="n">
        <v>30</v>
      </c>
      <c r="C25" s="76" t="n">
        <v>2199.73</v>
      </c>
      <c r="D25" s="76" t="n">
        <v>36.25</v>
      </c>
      <c r="E25" s="76" t="n">
        <v>-20</v>
      </c>
      <c r="F25" s="76" t="n">
        <v>16.15</v>
      </c>
      <c r="G25" s="76" t="n">
        <v>6.618</v>
      </c>
      <c r="H25" s="76" t="n">
        <v>2185.5</v>
      </c>
      <c r="I25" s="76" t="n">
        <v>2213.9</v>
      </c>
      <c r="J25" s="76" t="inlineStr"/>
      <c r="K25" s="76" t="inlineStr">
        <is>
          <t>Run 1 header mislabeled — tab name trusted</t>
        </is>
      </c>
    </row>
    <row r="27" ht="20" customHeight="1">
      <c r="A27" s="71" t="inlineStr">
        <is>
          <t>SECTION 3 — Regression: L → x̄  (Linear &amp; Polynomial deg 2)</t>
        </is>
      </c>
    </row>
    <row r="28" ht="22" customHeight="1">
      <c r="A28" s="72" t="inlineStr">
        <is>
          <t>Model</t>
        </is>
      </c>
      <c r="B28" s="72" t="inlineStr">
        <is>
          <t>a (L² coeff)</t>
        </is>
      </c>
      <c r="C28" s="72" t="inlineStr">
        <is>
          <t>b (L coeff)</t>
        </is>
      </c>
      <c r="D28" s="72" t="inlineStr">
        <is>
          <t>c (constant)</t>
        </is>
      </c>
      <c r="E28" s="72" t="inlineStr">
        <is>
          <t>R²</t>
        </is>
      </c>
      <c r="F28" s="72" t="inlineStr"/>
      <c r="G28" s="72" t="inlineStr"/>
      <c r="H28" s="72" t="inlineStr"/>
      <c r="I28" s="72" t="inlineStr"/>
      <c r="J28" s="72" t="inlineStr"/>
      <c r="K28" s="72" t="inlineStr"/>
    </row>
    <row r="29" ht="17" customHeight="1">
      <c r="A29" s="73" t="inlineStr">
        <is>
          <t>Linear (deg 1)</t>
        </is>
      </c>
      <c r="B29" s="73" t="inlineStr">
        <is>
          <t>—</t>
        </is>
      </c>
      <c r="C29" s="73" t="n">
        <v>26.5721</v>
      </c>
      <c r="D29" s="73" t="n">
        <v>-1255.01</v>
      </c>
      <c r="E29" s="73" t="n">
        <v>0.997611</v>
      </c>
      <c r="F29" s="73" t="inlineStr"/>
      <c r="G29" s="73" t="inlineStr"/>
      <c r="H29" s="73" t="inlineStr"/>
      <c r="I29" s="73" t="inlineStr"/>
      <c r="J29" s="73" t="inlineStr"/>
      <c r="K29" s="73" t="inlineStr"/>
    </row>
    <row r="30" ht="17" customHeight="1">
      <c r="A30" s="76" t="inlineStr">
        <is>
          <t>Polynomial (deg 2)</t>
        </is>
      </c>
      <c r="B30" s="76" t="n">
        <v>0.065524</v>
      </c>
      <c r="C30" s="76" t="n">
        <v>11.1741</v>
      </c>
      <c r="D30" s="76" t="n">
        <v>-355.15</v>
      </c>
      <c r="E30" s="76" t="n">
        <v>0.997935</v>
      </c>
      <c r="F30" s="76" t="inlineStr"/>
      <c r="G30" s="76" t="inlineStr"/>
      <c r="H30" s="76" t="inlineStr"/>
      <c r="I30" s="76" t="inlineStr"/>
      <c r="J30" s="76" t="inlineStr"/>
      <c r="K30" s="76" t="inlineStr"/>
    </row>
    <row r="32" ht="22" customHeight="1">
      <c r="A32" s="72" t="inlineStr">
        <is>
          <t>L (mm)</t>
        </is>
      </c>
      <c r="B32" s="72" t="inlineStr">
        <is>
          <t>x̄ measured</t>
        </is>
      </c>
      <c r="C32" s="72" t="inlineStr">
        <is>
          <t>Linear fit</t>
        </is>
      </c>
      <c r="D32" s="72" t="inlineStr">
        <is>
          <t>Resid (lin)</t>
        </is>
      </c>
      <c r="E32" s="72" t="inlineStr">
        <is>
          <t>Poly2 fit</t>
        </is>
      </c>
      <c r="F32" s="72" t="inlineStr">
        <is>
          <t>Resid (poly2)</t>
        </is>
      </c>
      <c r="G32" s="72" t="inlineStr"/>
      <c r="H32" s="72" t="inlineStr"/>
      <c r="I32" s="72" t="inlineStr"/>
      <c r="J32" s="72" t="inlineStr"/>
      <c r="K32" s="72" t="inlineStr"/>
    </row>
    <row r="33" ht="17" customHeight="1">
      <c r="A33" s="76" t="n">
        <v>105</v>
      </c>
      <c r="B33" s="76" t="n">
        <v>1548.07</v>
      </c>
      <c r="C33" s="76" t="n">
        <v>1535.06</v>
      </c>
      <c r="D33" s="76" t="n">
        <v>13.01</v>
      </c>
      <c r="E33" s="76" t="n">
        <v>1540.52</v>
      </c>
      <c r="F33" s="76" t="n">
        <v>7.55</v>
      </c>
      <c r="G33" s="76" t="inlineStr"/>
      <c r="H33" s="76" t="inlineStr"/>
      <c r="I33" s="76" t="inlineStr"/>
      <c r="J33" s="76" t="inlineStr"/>
      <c r="K33" s="76" t="inlineStr"/>
    </row>
    <row r="34" ht="17" customHeight="1">
      <c r="A34" s="73" t="n">
        <v>110</v>
      </c>
      <c r="B34" s="73" t="n">
        <v>1657.67</v>
      </c>
      <c r="C34" s="73" t="n">
        <v>1667.92</v>
      </c>
      <c r="D34" s="73" t="n">
        <v>-10.25</v>
      </c>
      <c r="E34" s="73" t="n">
        <v>1666.83</v>
      </c>
      <c r="F34" s="73" t="n">
        <v>-9.16</v>
      </c>
      <c r="G34" s="73" t="inlineStr"/>
      <c r="H34" s="73" t="inlineStr"/>
      <c r="I34" s="73" t="inlineStr"/>
      <c r="J34" s="73" t="inlineStr"/>
      <c r="K34" s="73" t="inlineStr"/>
    </row>
    <row r="35" ht="17" customHeight="1">
      <c r="A35" s="76" t="n">
        <v>115</v>
      </c>
      <c r="B35" s="76" t="n">
        <v>1783.74</v>
      </c>
      <c r="C35" s="76" t="n">
        <v>1800.78</v>
      </c>
      <c r="D35" s="76" t="n">
        <v>-17.04</v>
      </c>
      <c r="E35" s="76" t="n">
        <v>1796.42</v>
      </c>
      <c r="F35" s="76" t="n">
        <v>-12.68</v>
      </c>
      <c r="G35" s="76" t="inlineStr"/>
      <c r="H35" s="76" t="inlineStr"/>
      <c r="I35" s="76" t="inlineStr"/>
      <c r="J35" s="76" t="inlineStr"/>
      <c r="K35" s="76" t="inlineStr"/>
    </row>
    <row r="36" ht="17" customHeight="1">
      <c r="A36" s="73" t="n">
        <v>120</v>
      </c>
      <c r="B36" s="73" t="n">
        <v>1946.85</v>
      </c>
      <c r="C36" s="73" t="n">
        <v>1933.65</v>
      </c>
      <c r="D36" s="73" t="n">
        <v>13.2</v>
      </c>
      <c r="E36" s="73" t="n">
        <v>1929.28</v>
      </c>
      <c r="F36" s="73" t="n">
        <v>17.57</v>
      </c>
      <c r="G36" s="73" t="inlineStr"/>
      <c r="H36" s="73" t="inlineStr"/>
      <c r="I36" s="73" t="inlineStr"/>
      <c r="J36" s="73" t="inlineStr"/>
      <c r="K36" s="73" t="inlineStr"/>
    </row>
    <row r="37" ht="17" customHeight="1">
      <c r="A37" s="76" t="n">
        <v>125</v>
      </c>
      <c r="B37" s="76" t="n">
        <v>2067.23</v>
      </c>
      <c r="C37" s="76" t="n">
        <v>2066.51</v>
      </c>
      <c r="D37" s="76" t="n">
        <v>0.72</v>
      </c>
      <c r="E37" s="76" t="n">
        <v>2065.41</v>
      </c>
      <c r="F37" s="76" t="n">
        <v>1.82</v>
      </c>
      <c r="G37" s="76" t="inlineStr"/>
      <c r="H37" s="76" t="inlineStr"/>
      <c r="I37" s="76" t="inlineStr"/>
      <c r="J37" s="76" t="inlineStr"/>
      <c r="K37" s="76" t="inlineStr"/>
    </row>
    <row r="38" ht="17" customHeight="1">
      <c r="A38" s="73" t="n">
        <v>130</v>
      </c>
      <c r="B38" s="73" t="n">
        <v>2199.73</v>
      </c>
      <c r="C38" s="73" t="n">
        <v>2199.37</v>
      </c>
      <c r="D38" s="73" t="n">
        <v>0.36</v>
      </c>
      <c r="E38" s="73" t="n">
        <v>2204.83</v>
      </c>
      <c r="F38" s="73" t="n">
        <v>-5.1</v>
      </c>
      <c r="G38" s="73" t="inlineStr"/>
      <c r="H38" s="73" t="inlineStr"/>
      <c r="I38" s="73" t="inlineStr"/>
      <c r="J38" s="73" t="inlineStr"/>
      <c r="K38" s="73" t="inlineStr"/>
    </row>
    <row r="40" ht="20" customHeight="1">
      <c r="A40" s="71" t="inlineStr">
        <is>
          <t>SECTION 4 — Data Quality Notes</t>
        </is>
      </c>
    </row>
    <row r="41" ht="17" customHeight="1">
      <c r="A41" s="79" t="inlineStr">
        <is>
          <t>L=110mm Run 1</t>
        </is>
      </c>
      <c r="B41" s="80" t="inlineStr">
        <is>
          <t>σx = 38.3 mm vs 17.6 mm (Run 2). Mean x differs by ~96 mm. Excluded from pooled analysis.</t>
        </is>
      </c>
    </row>
    <row r="42" ht="17" customHeight="1">
      <c r="A42" s="81" t="inlineStr">
        <is>
          <t>L=115mm (1)</t>
        </is>
      </c>
      <c r="B42" s="82" t="inlineStr">
        <is>
          <t>Sheet header says 'L=105mm' — copy-paste error. Tab name 'L=115mm (1)' is correct.</t>
        </is>
      </c>
    </row>
    <row r="43" ht="17" customHeight="1">
      <c r="A43" s="79" t="inlineStr">
        <is>
          <t>L=125mm</t>
        </is>
      </c>
      <c r="B43" s="80" t="inlineStr">
        <is>
          <t>Sheet header says 'L=120mm' — copy-paste error. Tab name 'L=125mm' is correct.</t>
        </is>
      </c>
    </row>
    <row r="44" ht="17" customHeight="1">
      <c r="A44" s="81" t="inlineStr">
        <is>
          <t>L=130mm</t>
        </is>
      </c>
      <c r="B44" s="82" t="inlineStr">
        <is>
          <t>Sheet header says 'L=120mm' — copy-paste error. Tab name 'L=130mm' is correct.</t>
        </is>
      </c>
    </row>
    <row r="45" ht="17" customHeight="1">
      <c r="A45" s="79" t="inlineStr">
        <is>
          <t>Summary (original)</t>
        </is>
      </c>
      <c r="B45" s="80" t="inlineStr">
        <is>
          <t>Contains #REF! errors — cross-sheet refs broken. This sheet replaces it.</t>
        </is>
      </c>
    </row>
    <row r="46" ht="17" customHeight="1">
      <c r="A46" s="81" t="inlineStr">
        <is>
          <t>Pooled x̄</t>
        </is>
      </c>
      <c r="B46" s="82" t="inlineStr">
        <is>
          <t>Weighted mean: x̄_pool = (n₁·x̄₁ + n₂·x̄₂)/(n₁+n₂). Equivalent to pooling all raw shots.</t>
        </is>
      </c>
    </row>
  </sheetData>
  <mergeCells count="12">
    <mergeCell ref="B45:K45"/>
    <mergeCell ref="B46:K46"/>
    <mergeCell ref="A18:K18"/>
    <mergeCell ref="A4:K4"/>
    <mergeCell ref="B41:K41"/>
    <mergeCell ref="B44:K44"/>
    <mergeCell ref="A2:K2"/>
    <mergeCell ref="B43:K43"/>
    <mergeCell ref="B42:K42"/>
    <mergeCell ref="A1:K1"/>
    <mergeCell ref="A40:K40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81" zoomScaleNormal="100" workbookViewId="0">
      <selection activeCell="I6" sqref="I6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4.6640625" customWidth="1" min="5" max="5"/>
    <col width="18" customWidth="1" min="6" max="6"/>
    <col width="3" customWidth="1" min="7" max="7"/>
    <col width="28" customWidth="1" min="8" max="8"/>
    <col width="20.441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105 mm   |   n = 15  shots</t>
        </is>
      </c>
    </row>
    <row r="2" ht="42" customHeight="1">
      <c r="A2" s="1" t="inlineStr">
        <is>
          <t>Shot #</t>
        </is>
      </c>
      <c r="B2" s="1" t="inlineStr">
        <is>
          <t>x (mm)</t>
        </is>
      </c>
      <c r="C2" s="1" t="inlineStr">
        <is>
          <t>y (mm)</t>
        </is>
      </c>
      <c r="D2" s="1" t="inlineStr">
        <is>
          <t>theta(deg)</t>
        </is>
      </c>
      <c r="E2" s="1" t="inlineStr">
        <is>
          <t>theta(rad)</t>
        </is>
      </c>
      <c r="F2" s="1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2" t="n">
        <v>1</v>
      </c>
      <c r="B3" s="2">
        <f>1500+63</f>
        <v/>
      </c>
      <c r="C3" s="2" t="n">
        <v>15</v>
      </c>
      <c r="D3">
        <f>DEGREES(E3)</f>
        <v/>
      </c>
      <c r="E3" s="53">
        <f>ATAN(C3/B3)</f>
        <v/>
      </c>
      <c r="F3" s="6">
        <f>SQRT(B3^2+C3^2)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2" t="n">
        <v>2</v>
      </c>
      <c r="B4" s="2">
        <f>1500+57</f>
        <v/>
      </c>
      <c r="C4" s="2" t="n">
        <v>5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2" t="n">
        <v>3</v>
      </c>
      <c r="B5" s="2">
        <f>1500+48</f>
        <v/>
      </c>
      <c r="C5" s="2" t="n">
        <v>4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AVERAGE(B3:B17)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2" t="n">
        <v>4</v>
      </c>
      <c r="B6" s="2">
        <f>1500+39</f>
        <v/>
      </c>
      <c r="C6" s="2" t="n">
        <v>2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_xlfn.STDEV.S(B3:B17)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2" t="n">
        <v>5</v>
      </c>
      <c r="B7" s="2">
        <f>1500+16</f>
        <v/>
      </c>
      <c r="C7" s="2" t="n">
        <v>-4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2" t="n">
        <v>6</v>
      </c>
      <c r="B8" s="2">
        <f>1500+71</f>
        <v/>
      </c>
      <c r="C8" s="2" t="n">
        <v>-10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2" t="n">
        <v>7</v>
      </c>
      <c r="B9" s="2">
        <f>1500+25</f>
        <v/>
      </c>
      <c r="C9" s="2" t="n">
        <v>-11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2" t="n">
        <v>8</v>
      </c>
      <c r="B10" s="2">
        <f>1500+56</f>
        <v/>
      </c>
      <c r="C10" s="2" t="n">
        <v>-7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2" t="n">
        <v>9</v>
      </c>
      <c r="B11" s="2">
        <f>1500+53</f>
        <v/>
      </c>
      <c r="C11" s="2" t="n">
        <v>-22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MAX(B3:B17)-MIN(B3:B17)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2" t="n">
        <v>10</v>
      </c>
      <c r="B12" s="2">
        <f>1500+55</f>
        <v/>
      </c>
      <c r="C12" s="2" t="n">
        <v>-13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2" t="n">
        <v>11</v>
      </c>
      <c r="B13" s="2">
        <f>1500+59</f>
        <v/>
      </c>
      <c r="C13" s="2" t="n">
        <v>-25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AVERAGE(C3:C17)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2" t="n">
        <v>12</v>
      </c>
      <c r="B14" s="2">
        <f>1500+29</f>
        <v/>
      </c>
      <c r="C14" s="2" t="n">
        <v>1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STDEV(C3:C17)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2" t="n">
        <v>13</v>
      </c>
      <c r="B15" s="2">
        <f>1500+63</f>
        <v/>
      </c>
      <c r="C15" s="2" t="n">
        <v>-33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2" t="n">
        <v>14</v>
      </c>
      <c r="B16" s="2">
        <f>1500+50</f>
        <v/>
      </c>
      <c r="C16" s="2" t="n">
        <v>-3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2" t="n">
        <v>15</v>
      </c>
      <c r="B17" s="2">
        <f>1500+37</f>
        <v/>
      </c>
      <c r="C17" s="2" t="n">
        <v>-7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2" t="n"/>
      <c r="B18" s="2" t="n"/>
      <c r="C18" s="2" t="n"/>
      <c r="D18" s="3" t="n"/>
      <c r="E18" s="3" t="n"/>
      <c r="F18" s="4" t="n"/>
      <c r="H18" s="58" t="inlineStr">
        <is>
          <t>range y</t>
        </is>
      </c>
      <c r="I18" s="59">
        <f>MAX(C3:C17)-MIN(C3:C17)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2" t="n"/>
      <c r="B19" s="2" t="n"/>
      <c r="C19" s="2" t="n"/>
      <c r="D19" s="3" t="n"/>
      <c r="E19" s="3" t="n"/>
      <c r="F19" s="4" t="n"/>
    </row>
    <row r="20" ht="15" customHeight="1">
      <c r="A20" s="2" t="n"/>
      <c r="B20" s="2" t="n"/>
      <c r="C20" s="2" t="n"/>
      <c r="D20" s="3" t="n"/>
      <c r="E20" s="3" t="n"/>
      <c r="F20" s="4" t="n"/>
      <c r="H20" s="5" t="inlineStr">
        <is>
          <t>r̄   (mean radial error)</t>
        </is>
      </c>
      <c r="I20" s="6">
        <f>AVERAGE(F3:F17)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2" t="n"/>
      <c r="B21" s="2" t="n"/>
      <c r="C21" s="2" t="n"/>
      <c r="D21" s="3" t="n"/>
      <c r="E21" s="3" t="n"/>
      <c r="F21" s="4" t="n"/>
      <c r="H21" s="5" t="inlineStr">
        <is>
          <t>σr  (std dev radial)</t>
        </is>
      </c>
      <c r="I21" s="6">
        <f>STDEV(F3:F17)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2" t="n"/>
      <c r="B22" s="2" t="n"/>
      <c r="C22" s="2" t="n"/>
      <c r="D22" s="3" t="n"/>
      <c r="E22" s="3" t="n"/>
      <c r="F22" s="4" t="n"/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2" t="n"/>
      <c r="B23" s="2" t="n"/>
      <c r="C23" s="2" t="n"/>
      <c r="D23" s="3" t="n"/>
      <c r="E23" s="3" t="n"/>
      <c r="F23" s="4" t="n"/>
      <c r="H23" s="5" t="inlineStr">
        <is>
          <t>2σr</t>
        </is>
      </c>
      <c r="I23" s="38">
        <f>I22-I20</f>
        <v/>
      </c>
    </row>
    <row r="24">
      <c r="H24" s="58" t="inlineStr">
        <is>
          <t>range r</t>
        </is>
      </c>
      <c r="I24" s="59">
        <f>MAX(F3:F17)-MIN(F3:F17)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12" t="inlineStr">
        <is>
          <t>x_ideal →</t>
        </is>
      </c>
      <c r="B25" s="13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mean θ (deg)</t>
        </is>
      </c>
      <c r="I26">
        <f>AVERAGE(D3:D17)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_xlfn.STDEV.S(D3:D17)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2" t="inlineStr">
        <is>
          <t>mean θ (rad)</t>
        </is>
      </c>
      <c r="I28" s="55">
        <f>AVERAGE(E3:E17)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_xlfn.STDEV.S(E3:E17)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MAX(D3:D17)-MIN(D3:D17)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MAX(E3:E17)-MIN(E3:E17)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topLeftCell="A2" zoomScale="81" zoomScaleNormal="100" workbookViewId="0">
      <selection activeCell="I31" sqref="I31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4.6640625" customWidth="1" min="5" max="5"/>
    <col width="18" customWidth="1" min="6" max="6"/>
    <col width="3" customWidth="1" min="7" max="7"/>
    <col width="28" customWidth="1" min="8" max="8"/>
    <col width="20.441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110 mm   |   n = 15  shots</t>
        </is>
      </c>
    </row>
    <row r="2" ht="42" customHeight="1">
      <c r="A2" s="1" t="inlineStr">
        <is>
          <t>Shot #</t>
        </is>
      </c>
      <c r="B2" s="1" t="inlineStr">
        <is>
          <t>x (mm)</t>
        </is>
      </c>
      <c r="C2" s="1" t="inlineStr">
        <is>
          <t>y (mm)</t>
        </is>
      </c>
      <c r="D2" s="1" t="inlineStr">
        <is>
          <t>theta(deg)</t>
        </is>
      </c>
      <c r="E2" s="1" t="inlineStr">
        <is>
          <t>theta(rad)</t>
        </is>
      </c>
      <c r="F2" s="1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2" t="n">
        <v>1</v>
      </c>
      <c r="B3" s="2">
        <f>1700-109</f>
        <v/>
      </c>
      <c r="C3" s="2" t="n">
        <v>9</v>
      </c>
      <c r="D3">
        <f>DEGREES(E3)</f>
        <v/>
      </c>
      <c r="E3" s="53">
        <f>ATAN(C3/B3)</f>
        <v/>
      </c>
      <c r="F3" s="6">
        <f>SQRT(B3^2+C3^2)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2" t="n">
        <v>2</v>
      </c>
      <c r="B4" s="2">
        <f>1700-65</f>
        <v/>
      </c>
      <c r="C4" s="2" t="n">
        <v>3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2" t="n">
        <v>3</v>
      </c>
      <c r="B5" s="2">
        <f>1700-141</f>
        <v/>
      </c>
      <c r="C5" s="2" t="n">
        <v>17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AVERAGE(B3:B17)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2" t="n">
        <v>4</v>
      </c>
      <c r="B6" s="2">
        <f>1700-120</f>
        <v/>
      </c>
      <c r="C6" s="2" t="n">
        <v>-1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_xlfn.STDEV.S(B3:B17)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2" t="n">
        <v>5</v>
      </c>
      <c r="B7" s="2">
        <f>1700-112</f>
        <v/>
      </c>
      <c r="C7" s="2" t="n">
        <v>-12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2" t="n">
        <v>6</v>
      </c>
      <c r="B8" s="2">
        <f>1700-111</f>
        <v/>
      </c>
      <c r="C8" s="2" t="n">
        <v>5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2" t="n">
        <v>7</v>
      </c>
      <c r="B9" s="2">
        <f>1700-128</f>
        <v/>
      </c>
      <c r="C9" s="2" t="n">
        <v>22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2" t="n">
        <v>8</v>
      </c>
      <c r="B10" s="2">
        <f>1700-151</f>
        <v/>
      </c>
      <c r="C10" s="2" t="n">
        <v>4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2" t="n">
        <v>9</v>
      </c>
      <c r="B11" s="2">
        <f>1700-200</f>
        <v/>
      </c>
      <c r="C11" s="2" t="n">
        <v>9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MAX(B3:B17)-MIN(B3:B17)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2" t="n">
        <v>10</v>
      </c>
      <c r="B12" s="2">
        <f>1700-119</f>
        <v/>
      </c>
      <c r="C12" s="2" t="n">
        <v>28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2" t="n">
        <v>11</v>
      </c>
      <c r="B13" s="2">
        <f>1700-206</f>
        <v/>
      </c>
      <c r="C13" s="2" t="n">
        <v>-3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AVERAGE(C3:C17)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2" t="n">
        <v>12</v>
      </c>
      <c r="B14" s="2">
        <f>1700-187</f>
        <v/>
      </c>
      <c r="C14" s="2" t="n">
        <v>9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STDEV(C3:C17)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2" t="n">
        <v>13</v>
      </c>
      <c r="B15" s="2">
        <f>1700-142</f>
        <v/>
      </c>
      <c r="C15" s="2" t="n">
        <v>17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2" t="n">
        <v>14</v>
      </c>
      <c r="B16" s="2">
        <f>1700-115</f>
        <v/>
      </c>
      <c r="C16" s="2" t="n">
        <v>27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2" t="n">
        <v>15</v>
      </c>
      <c r="B17" s="2">
        <f>1700-163</f>
        <v/>
      </c>
      <c r="C17" s="2" t="n">
        <v>10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2" t="n"/>
      <c r="B18" s="2" t="n"/>
      <c r="C18" s="2" t="n"/>
      <c r="D18" s="3" t="n"/>
      <c r="E18" s="3" t="n"/>
      <c r="F18" s="4" t="n"/>
      <c r="H18" s="58" t="inlineStr">
        <is>
          <t>range y</t>
        </is>
      </c>
      <c r="I18" s="59">
        <f>MAX(C3:C17)-MIN(C3:C17)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2" t="n"/>
      <c r="B19" s="2" t="n"/>
      <c r="C19" s="2" t="n"/>
      <c r="D19" s="3" t="n"/>
      <c r="E19" s="3" t="n"/>
      <c r="F19" s="4" t="n"/>
    </row>
    <row r="20" ht="15" customHeight="1">
      <c r="A20" s="2" t="n"/>
      <c r="B20" s="2" t="n"/>
      <c r="C20" s="2" t="n"/>
      <c r="D20" s="3" t="n"/>
      <c r="E20" s="3" t="n"/>
      <c r="F20" s="4" t="n"/>
      <c r="H20" s="5" t="inlineStr">
        <is>
          <t>r̄   (mean radial error)</t>
        </is>
      </c>
      <c r="I20" s="6">
        <f>AVERAGE(F3:F17)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2" t="n"/>
      <c r="B21" s="2" t="n"/>
      <c r="C21" s="2" t="n"/>
      <c r="D21" s="3" t="n"/>
      <c r="E21" s="3" t="n"/>
      <c r="F21" s="4" t="n"/>
      <c r="H21" s="5" t="inlineStr">
        <is>
          <t>σr  (std dev radial)</t>
        </is>
      </c>
      <c r="I21" s="6">
        <f>STDEV(F3:F17)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2" t="n"/>
      <c r="B22" s="2" t="n"/>
      <c r="C22" s="2" t="n"/>
      <c r="D22" s="3" t="n"/>
      <c r="E22" s="3" t="n"/>
      <c r="F22" s="4" t="n"/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2" t="n"/>
      <c r="B23" s="2" t="n"/>
      <c r="C23" s="2" t="n"/>
      <c r="D23" s="3" t="n"/>
      <c r="E23" s="3" t="n"/>
      <c r="F23" s="4" t="n"/>
      <c r="H23" s="5" t="inlineStr">
        <is>
          <t>2σr</t>
        </is>
      </c>
      <c r="I23" s="38">
        <f>I22-I20</f>
        <v/>
      </c>
    </row>
    <row r="24">
      <c r="H24" s="58" t="inlineStr">
        <is>
          <t>range r</t>
        </is>
      </c>
      <c r="I24" s="59">
        <f>MAX(F3:F17)-MIN(F3:F17)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12" t="inlineStr">
        <is>
          <t>x_ideal →</t>
        </is>
      </c>
      <c r="B25" s="13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mean θ (deg)</t>
        </is>
      </c>
      <c r="I26">
        <f>AVERAGE(D3:D17)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_xlfn.STDEV.S(D3:D17)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2" t="inlineStr">
        <is>
          <t>mean θ (rad)</t>
        </is>
      </c>
      <c r="I28" s="55">
        <f>AVERAGE(E3:E17)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_xlfn.STDEV.S(E3:E17)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MAX(D3:D17)-MIN(D3:D17)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MAX(E3:E17)-MIN(E3:E17)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topLeftCell="A2" zoomScale="83" zoomScaleNormal="100" workbookViewId="0">
      <selection activeCell="K31" sqref="H2:K31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4.6640625" customWidth="1" min="5" max="5"/>
    <col width="18" customWidth="1" min="6" max="6"/>
    <col width="3" customWidth="1" min="7" max="7"/>
    <col width="28" customWidth="1" min="8" max="8"/>
    <col width="20.441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110 mm   |   n = 15  shots</t>
        </is>
      </c>
    </row>
    <row r="2" ht="42" customHeight="1">
      <c r="A2" s="1" t="inlineStr">
        <is>
          <t>Shot #</t>
        </is>
      </c>
      <c r="B2" s="1" t="inlineStr">
        <is>
          <t>x (mm)</t>
        </is>
      </c>
      <c r="C2" s="1" t="inlineStr">
        <is>
          <t>y (mm)</t>
        </is>
      </c>
      <c r="D2" s="1" t="inlineStr">
        <is>
          <t>theta(deg)</t>
        </is>
      </c>
      <c r="E2" s="1" t="inlineStr">
        <is>
          <t>theta(rad)</t>
        </is>
      </c>
      <c r="F2" s="1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2" t="n">
        <v>1</v>
      </c>
      <c r="B3" s="2">
        <f>1750-103</f>
        <v/>
      </c>
      <c r="C3" s="2" t="n">
        <v>-10</v>
      </c>
      <c r="D3">
        <f>DEGREES(E3)</f>
        <v/>
      </c>
      <c r="E3" s="53">
        <f>ATAN(C3/B3)</f>
        <v/>
      </c>
      <c r="F3" s="6">
        <f>SQRT(B3^2+C3^2)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2" t="n">
        <v>2</v>
      </c>
      <c r="B4" s="2">
        <f>1750-97</f>
        <v/>
      </c>
      <c r="C4" s="2" t="n">
        <v>-19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2" t="n">
        <v>3</v>
      </c>
      <c r="B5" s="2">
        <f>1750-91</f>
        <v/>
      </c>
      <c r="C5" s="2" t="n">
        <v>-8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AVERAGE(B3:B17)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2" t="n">
        <v>4</v>
      </c>
      <c r="B6" s="2">
        <f>1750-68</f>
        <v/>
      </c>
      <c r="C6" s="2" t="n">
        <v>-2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STDEV(B3:B17)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2" t="n">
        <v>5</v>
      </c>
      <c r="B7" s="2">
        <f>1750-119</f>
        <v/>
      </c>
      <c r="C7" s="2" t="n">
        <v>-26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2" t="n">
        <v>6</v>
      </c>
      <c r="B8" s="2">
        <f>1750-112</f>
        <v/>
      </c>
      <c r="C8" s="2" t="n">
        <v>-14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2" t="n">
        <v>7</v>
      </c>
      <c r="B9" s="2">
        <f>1750-113</f>
        <v/>
      </c>
      <c r="C9" s="2" t="n">
        <v>-11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2" t="n">
        <v>8</v>
      </c>
      <c r="B10" s="2">
        <f>1750-87</f>
        <v/>
      </c>
      <c r="C10" s="2" t="n">
        <v>-17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2" t="n">
        <v>9</v>
      </c>
      <c r="B11" s="2">
        <f>1750-64</f>
        <v/>
      </c>
      <c r="C11" s="2" t="n">
        <v>-17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MAX(B3:B17)-MIN(B3:B17)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2" t="n">
        <v>10</v>
      </c>
      <c r="B12" s="2">
        <f>1750-86</f>
        <v/>
      </c>
      <c r="C12" s="2" t="n">
        <v>-7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2" t="n">
        <v>11</v>
      </c>
      <c r="B13" s="2">
        <f>1750-72</f>
        <v/>
      </c>
      <c r="C13" s="2" t="n">
        <v>-9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AVERAGE(C3:C17)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2" t="n">
        <v>12</v>
      </c>
      <c r="B14" s="2">
        <f>1750-82</f>
        <v/>
      </c>
      <c r="C14" s="2" t="n">
        <v>-14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STDEV(C3:C17)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2" t="n">
        <v>13</v>
      </c>
      <c r="B15" s="2">
        <f>1750-96</f>
        <v/>
      </c>
      <c r="C15" s="2" t="n">
        <v>-22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2" t="n">
        <v>14</v>
      </c>
      <c r="B16" s="2">
        <f>1750-80</f>
        <v/>
      </c>
      <c r="C16" s="2" t="n">
        <v>-8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2" t="n">
        <v>15</v>
      </c>
      <c r="B17" s="2">
        <f>1750-115</f>
        <v/>
      </c>
      <c r="C17" s="2" t="n">
        <v>-26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2" t="n"/>
      <c r="B18" s="2" t="n"/>
      <c r="C18" s="2" t="n"/>
      <c r="D18" s="3" t="n"/>
      <c r="E18" s="3" t="n"/>
      <c r="F18" s="4" t="n"/>
      <c r="H18" s="58" t="inlineStr">
        <is>
          <t>range y</t>
        </is>
      </c>
      <c r="I18" s="59">
        <f>MAX(C3:C17)-MIN(C3:C17)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2" t="n"/>
      <c r="B19" s="2" t="n"/>
      <c r="C19" s="2" t="n"/>
      <c r="D19" s="3" t="n"/>
      <c r="E19" s="3" t="n"/>
      <c r="F19" s="4" t="n"/>
    </row>
    <row r="20" ht="15" customHeight="1">
      <c r="A20" s="2" t="n"/>
      <c r="B20" s="2" t="n"/>
      <c r="C20" s="2" t="n"/>
      <c r="D20" s="3" t="n"/>
      <c r="E20" s="3" t="n"/>
      <c r="F20" s="4" t="n"/>
      <c r="H20" s="5" t="inlineStr">
        <is>
          <t>r̄   (mean radial error)</t>
        </is>
      </c>
      <c r="I20" s="6">
        <f>AVERAGE(F3:F17)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2" t="n"/>
      <c r="B21" s="2" t="n"/>
      <c r="C21" s="2" t="n"/>
      <c r="D21" s="3" t="n"/>
      <c r="E21" s="3" t="n"/>
      <c r="F21" s="4" t="n"/>
      <c r="H21" s="5" t="inlineStr">
        <is>
          <t>σr  (std dev radial)</t>
        </is>
      </c>
      <c r="I21" s="6">
        <f>STDEV(F3:F17)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2" t="n"/>
      <c r="B22" s="2" t="n"/>
      <c r="C22" s="2" t="n"/>
      <c r="D22" s="3" t="n"/>
      <c r="E22" s="3" t="n"/>
      <c r="F22" s="4" t="n"/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2" t="n"/>
      <c r="B23" s="2" t="n"/>
      <c r="C23" s="2" t="n"/>
      <c r="D23" s="3" t="n"/>
      <c r="E23" s="3" t="n"/>
      <c r="F23" s="4" t="n"/>
      <c r="H23" s="5" t="inlineStr">
        <is>
          <t>2σr</t>
        </is>
      </c>
      <c r="I23" s="38">
        <f>I22-I20</f>
        <v/>
      </c>
    </row>
    <row r="24">
      <c r="H24" s="58" t="inlineStr">
        <is>
          <t>range r</t>
        </is>
      </c>
      <c r="I24" s="59">
        <f>MAX(F3:F17)-MIN(F3:F17)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12" t="inlineStr">
        <is>
          <t>x_ideal →</t>
        </is>
      </c>
      <c r="B25" s="13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mean θ (deg)</t>
        </is>
      </c>
      <c r="I26">
        <f>AVERAGE(D3:D17)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_xlfn.STDEV.S(D3:D17)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2" t="inlineStr">
        <is>
          <t>mean θ (rad)</t>
        </is>
      </c>
      <c r="I28" s="55">
        <f>AVERAGE(E3:E17)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_xlfn.STDEV.S(E3:E17)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MAX(D3:D17)-MIN(D3:D17)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MAX(E3:E17)-MIN(E3:E17)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80" zoomScaleNormal="80" workbookViewId="0">
      <selection activeCell="I31" sqref="I31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5.33203125" customWidth="1" min="5" max="5"/>
    <col width="18" customWidth="1" min="6" max="6"/>
    <col width="3" customWidth="1" min="7" max="7"/>
    <col width="28" customWidth="1" min="8" max="8"/>
    <col width="20" customWidth="1" min="9" max="9"/>
    <col width="7.88671875" customWidth="1" min="10" max="10"/>
    <col width="30" customWidth="1" min="11" max="11"/>
  </cols>
  <sheetData>
    <row r="1" ht="31.5" customHeight="1">
      <c r="A1" s="63" t="inlineStr">
        <is>
          <t>Experiment 3 — Raw Data   |   Draw Length  L = 115 mm   |   n = 15  shots</t>
        </is>
      </c>
    </row>
    <row r="2" ht="42" customHeight="1">
      <c r="A2" s="39" t="inlineStr">
        <is>
          <t>Shot #</t>
        </is>
      </c>
      <c r="B2" s="39" t="inlineStr">
        <is>
          <t>x (mm)</t>
        </is>
      </c>
      <c r="C2" s="39" t="inlineStr">
        <is>
          <t>y (mm)</t>
        </is>
      </c>
      <c r="D2" s="39" t="inlineStr">
        <is>
          <t>theta(deg)</t>
        </is>
      </c>
      <c r="E2" s="39" t="inlineStr">
        <is>
          <t>theta(rad)</t>
        </is>
      </c>
      <c r="F2" s="39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40" t="n">
        <v>1</v>
      </c>
      <c r="B3" s="40">
        <f>1700+1</f>
        <v/>
      </c>
      <c r="C3" s="40" t="n">
        <v>21</v>
      </c>
      <c r="D3">
        <f>DEGREES(E3)</f>
        <v/>
      </c>
      <c r="E3" s="53">
        <f>ATAN(C3/B3)</f>
        <v/>
      </c>
      <c r="F3" s="44">
        <f>SQRT(B3^2+C3^2)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40" t="n">
        <v>2</v>
      </c>
      <c r="B4" s="40">
        <f>1700-7</f>
        <v/>
      </c>
      <c r="C4" s="40" t="n">
        <v>25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40" t="n">
        <v>3</v>
      </c>
      <c r="B5" s="40">
        <f>1700+53</f>
        <v/>
      </c>
      <c r="C5" s="40" t="n">
        <v>21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AVERAGE(B3:B17)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40" t="n">
        <v>4</v>
      </c>
      <c r="B6" s="40">
        <f>1700+74</f>
        <v/>
      </c>
      <c r="C6" s="40" t="n">
        <v>6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STDEV(B3:B17)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40" t="n">
        <v>5</v>
      </c>
      <c r="B7" s="40">
        <f>1700+65</f>
        <v/>
      </c>
      <c r="C7" s="40" t="n">
        <v>35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40" t="n">
        <v>6</v>
      </c>
      <c r="B8" s="40">
        <f>1700+24</f>
        <v/>
      </c>
      <c r="C8" s="40" t="n">
        <v>10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40" t="n">
        <v>7</v>
      </c>
      <c r="B9" s="40">
        <f>1700+67</f>
        <v/>
      </c>
      <c r="C9" s="40" t="n">
        <v>5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40" t="n">
        <v>8</v>
      </c>
      <c r="B10" s="40">
        <f>1700+15</f>
        <v/>
      </c>
      <c r="C10" s="40" t="n">
        <v>2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40" t="n">
        <v>9</v>
      </c>
      <c r="B11" s="40">
        <f>1700+50</f>
        <v/>
      </c>
      <c r="C11" s="40" t="n">
        <v>-3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MAX(B3:B17)-MIN(B3:B17)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40" t="n">
        <v>10</v>
      </c>
      <c r="B12" s="40">
        <f>1700+80</f>
        <v/>
      </c>
      <c r="C12" s="40" t="n">
        <v>10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40" t="n">
        <v>11</v>
      </c>
      <c r="B13" s="40">
        <f>1700+65</f>
        <v/>
      </c>
      <c r="C13" s="40" t="n">
        <v>8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AVERAGE(C3:C17)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40" t="n">
        <v>12</v>
      </c>
      <c r="B14" s="40">
        <f>1700+63</f>
        <v/>
      </c>
      <c r="C14" s="40" t="n">
        <v>-8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STDEV(C3:C17)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40" t="n">
        <v>13</v>
      </c>
      <c r="B15" s="40">
        <f>1700+38</f>
        <v/>
      </c>
      <c r="C15" s="40" t="n">
        <v>-6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40" t="n">
        <v>14</v>
      </c>
      <c r="B16" s="40">
        <f>1700+49</f>
        <v/>
      </c>
      <c r="C16" s="40" t="n">
        <v>-14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40" t="n">
        <v>15</v>
      </c>
      <c r="B17" s="40">
        <f>1700+36</f>
        <v/>
      </c>
      <c r="C17" s="40" t="n">
        <v>9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40" t="n"/>
      <c r="B18" s="40" t="n"/>
      <c r="C18" s="40" t="n"/>
      <c r="D18" s="41" t="n"/>
      <c r="E18" s="41" t="n"/>
      <c r="F18" s="42" t="n"/>
      <c r="H18" s="58" t="inlineStr">
        <is>
          <t>range y</t>
        </is>
      </c>
      <c r="I18" s="59">
        <f>MAX(C3:C17)-MIN(C3:C17)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40" t="n"/>
      <c r="B19" s="40" t="n"/>
      <c r="C19" s="40" t="n"/>
      <c r="D19" s="41" t="n"/>
      <c r="E19" s="41" t="n"/>
      <c r="F19" s="42" t="n"/>
    </row>
    <row r="20" ht="15" customHeight="1">
      <c r="A20" s="40" t="n"/>
      <c r="B20" s="40" t="n"/>
      <c r="C20" s="40" t="n"/>
      <c r="D20" s="41" t="n"/>
      <c r="E20" s="41" t="n"/>
      <c r="F20" s="42" t="n"/>
      <c r="H20" s="5" t="inlineStr">
        <is>
          <t>r̄   (mean radial error)</t>
        </is>
      </c>
      <c r="I20" s="6">
        <f>AVERAGE(F3:F17)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40" t="n"/>
      <c r="B21" s="40" t="n"/>
      <c r="C21" s="40" t="n"/>
      <c r="D21" s="41" t="n"/>
      <c r="E21" s="41" t="n"/>
      <c r="F21" s="42" t="n"/>
      <c r="H21" s="5" t="inlineStr">
        <is>
          <t>σr  (std dev radial)</t>
        </is>
      </c>
      <c r="I21" s="6">
        <f>STDEV(F3:F17)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40" t="n"/>
      <c r="B22" s="40" t="n"/>
      <c r="C22" s="40" t="n"/>
      <c r="D22" s="41" t="n"/>
      <c r="E22" s="41" t="n"/>
      <c r="F22" s="42" t="n"/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40" t="n"/>
      <c r="B23" s="40" t="n"/>
      <c r="C23" s="40" t="n"/>
      <c r="D23" s="41" t="n"/>
      <c r="E23" s="41" t="n"/>
      <c r="F23" s="42" t="n"/>
      <c r="H23" s="5" t="inlineStr">
        <is>
          <t>2σr</t>
        </is>
      </c>
      <c r="I23" s="38">
        <f>I22-I20</f>
        <v/>
      </c>
    </row>
    <row r="24">
      <c r="H24" s="58" t="inlineStr">
        <is>
          <t>range r</t>
        </is>
      </c>
      <c r="I24" s="59">
        <f>MAX(F3:F17)-MIN(F3:F17)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50" t="inlineStr">
        <is>
          <t>x_ideal →</t>
        </is>
      </c>
      <c r="B25" s="51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mean θ (deg)</t>
        </is>
      </c>
      <c r="I26">
        <f>AVERAGE(D3:D17)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_xlfn.STDEV.S(D3:D17)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2" t="inlineStr">
        <is>
          <t>mean θ (rad)</t>
        </is>
      </c>
      <c r="I28" s="55">
        <f>AVERAGE(E3:E17)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_xlfn.STDEV.S(E3:E17)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MAX(D3:D17)-MIN(D3:D17)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MAX(E3:E17)-MIN(E3:E17)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79" zoomScaleNormal="190" workbookViewId="0">
      <selection activeCell="A2" sqref="A2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4.6640625" customWidth="1" min="5" max="5"/>
    <col width="18" customWidth="1" min="6" max="6"/>
    <col width="3" customWidth="1" min="7" max="7"/>
    <col width="28" customWidth="1" min="8" max="8"/>
    <col width="20.441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115 mm   |   n = 15  shots</t>
        </is>
      </c>
    </row>
    <row r="2" ht="42" customHeight="1">
      <c r="A2" s="1" t="inlineStr">
        <is>
          <t>Shot #</t>
        </is>
      </c>
      <c r="B2" s="1" t="inlineStr">
        <is>
          <t>x (mm)</t>
        </is>
      </c>
      <c r="C2" s="1" t="inlineStr">
        <is>
          <t>y (mm)</t>
        </is>
      </c>
      <c r="D2" s="1" t="inlineStr">
        <is>
          <t>theta(deg)</t>
        </is>
      </c>
      <c r="E2" s="1" t="inlineStr">
        <is>
          <t>theta(rad)</t>
        </is>
      </c>
      <c r="F2" s="1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2" t="n">
        <v>1</v>
      </c>
      <c r="B3" s="2">
        <f>1750+38</f>
        <v/>
      </c>
      <c r="C3" s="2" t="n">
        <v>-7</v>
      </c>
      <c r="D3">
        <f>DEGREES(E3)</f>
        <v/>
      </c>
      <c r="E3" s="53">
        <f>ATAN(C3/B3)</f>
        <v/>
      </c>
      <c r="F3" s="6">
        <f>SQRT(B3^2+C3^2)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2" t="n">
        <v>2</v>
      </c>
      <c r="B4" s="2">
        <f>1750+18</f>
        <v/>
      </c>
      <c r="C4" s="2" t="n">
        <v>-24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2" t="n">
        <v>3</v>
      </c>
      <c r="B5" s="2">
        <f>1750+72</f>
        <v/>
      </c>
      <c r="C5" s="2" t="n">
        <v>-2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AVERAGE(B3:B22)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2" t="n">
        <v>4</v>
      </c>
      <c r="B6" s="2">
        <f>1750+20</f>
        <v/>
      </c>
      <c r="C6" s="2" t="n">
        <v>0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_xlfn.STDEV.S(B3:B22)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2" t="n">
        <v>5</v>
      </c>
      <c r="B7" s="2">
        <f>1750+71</f>
        <v/>
      </c>
      <c r="C7" s="2" t="n">
        <v>6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2" t="n">
        <v>6</v>
      </c>
      <c r="B8" s="2">
        <f>1750+109</f>
        <v/>
      </c>
      <c r="C8" s="2" t="n">
        <v>14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2" t="n">
        <v>7</v>
      </c>
      <c r="B9" s="2">
        <f>1750+76</f>
        <v/>
      </c>
      <c r="C9" s="2" t="n">
        <v>-20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2" t="n">
        <v>8</v>
      </c>
      <c r="B10" s="2">
        <f>1750+14</f>
        <v/>
      </c>
      <c r="C10" s="2" t="n">
        <v>-3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2" t="n">
        <v>9</v>
      </c>
      <c r="B11" s="2">
        <f>1750+70</f>
        <v/>
      </c>
      <c r="C11" s="2" t="n">
        <v>-15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MAX(B3:B22)-MIN(B3:B22)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2" t="n">
        <v>10</v>
      </c>
      <c r="B12" s="2">
        <f>1750+66</f>
        <v/>
      </c>
      <c r="C12" s="2" t="n">
        <v>-9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2" t="n">
        <v>11</v>
      </c>
      <c r="B13" s="2">
        <f>1750+77</f>
        <v/>
      </c>
      <c r="C13" s="2" t="n">
        <v>-7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AVERAGE(C3:C22)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2" t="n">
        <v>12</v>
      </c>
      <c r="B14" s="2">
        <f>1750+62</f>
        <v/>
      </c>
      <c r="C14" s="2" t="n">
        <v>-17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_xlfn.STDEV.S(C3:C22)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2" t="n">
        <v>13</v>
      </c>
      <c r="B15" s="2">
        <f>1750+84</f>
        <v/>
      </c>
      <c r="C15" s="2" t="n">
        <v>-2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2" t="n">
        <v>14</v>
      </c>
      <c r="B16" s="2">
        <f>1750+54</f>
        <v/>
      </c>
      <c r="C16" s="2" t="n">
        <v>9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2" t="n">
        <v>15</v>
      </c>
      <c r="B17" s="2">
        <f>1750+66</f>
        <v/>
      </c>
      <c r="C17" s="2" t="n">
        <v>10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2" t="n">
        <v>16</v>
      </c>
      <c r="B18" s="2">
        <f>1750+72</f>
        <v/>
      </c>
      <c r="C18" s="2" t="n">
        <v>8</v>
      </c>
      <c r="D18">
        <f>DEGREES(E18)</f>
        <v/>
      </c>
      <c r="E18" s="53">
        <f>ATAN(C18/B18)</f>
        <v/>
      </c>
      <c r="F18" s="6">
        <f>SQRT(B18^2+C18^2)</f>
        <v/>
      </c>
      <c r="H18" s="58" t="inlineStr">
        <is>
          <t>range y</t>
        </is>
      </c>
      <c r="I18" s="59">
        <f>MAX(C3:C22)-MIN(C3:C22)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2" t="n">
        <v>17</v>
      </c>
      <c r="B19" s="2">
        <f>1750+74</f>
        <v/>
      </c>
      <c r="C19" s="2" t="n">
        <v>-7</v>
      </c>
      <c r="D19">
        <f>DEGREES(E19)</f>
        <v/>
      </c>
      <c r="E19" s="53">
        <f>ATAN(C19/B19)</f>
        <v/>
      </c>
      <c r="F19" s="44">
        <f>SQRT(B19^2+C19^2)</f>
        <v/>
      </c>
    </row>
    <row r="20" ht="15" customHeight="1">
      <c r="A20" s="2" t="n">
        <v>18</v>
      </c>
      <c r="B20" s="2">
        <f>1750+53</f>
        <v/>
      </c>
      <c r="C20" s="2" t="n">
        <v>3</v>
      </c>
      <c r="D20">
        <f>DEGREES(E20)</f>
        <v/>
      </c>
      <c r="E20" s="53">
        <f>ATAN(C20/B20)</f>
        <v/>
      </c>
      <c r="F20" s="44">
        <f>SQRT(B20^2+C20^2)</f>
        <v/>
      </c>
      <c r="H20" s="5" t="inlineStr">
        <is>
          <t>r̄   (mean radial error)</t>
        </is>
      </c>
      <c r="I20" s="6">
        <f>AVERAGE(F3:F22)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2" t="n">
        <v>19</v>
      </c>
      <c r="B21" s="2">
        <f>1750+104</f>
        <v/>
      </c>
      <c r="C21" s="2" t="n">
        <v>6</v>
      </c>
      <c r="D21">
        <f>DEGREES(E21)</f>
        <v/>
      </c>
      <c r="E21" s="53">
        <f>ATAN(C21/B21)</f>
        <v/>
      </c>
      <c r="F21" s="44">
        <f>SQRT(B21^2+C21^2)</f>
        <v/>
      </c>
      <c r="H21" s="5" t="inlineStr">
        <is>
          <t>σr  (std dev radial)</t>
        </is>
      </c>
      <c r="I21" s="6">
        <f>STDEV(F3:F22)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2" t="n">
        <v>20</v>
      </c>
      <c r="B22" s="2">
        <f>1750+58</f>
        <v/>
      </c>
      <c r="C22" s="2" t="n">
        <v>-3</v>
      </c>
      <c r="D22">
        <f>DEGREES(E22)</f>
        <v/>
      </c>
      <c r="E22" s="53">
        <f>ATAN(C22/B22)</f>
        <v/>
      </c>
      <c r="F22" s="44">
        <f>SQRT(B22^2+C22^2)</f>
        <v/>
      </c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2" t="n"/>
      <c r="B23" s="2" t="n"/>
      <c r="C23" s="2" t="n"/>
      <c r="D23" s="3" t="n"/>
      <c r="E23" s="3" t="n"/>
      <c r="F23" s="4" t="n"/>
      <c r="H23" s="5" t="inlineStr">
        <is>
          <t>2σr</t>
        </is>
      </c>
      <c r="I23" s="60">
        <f>I22-I20</f>
        <v/>
      </c>
      <c r="J23" s="54" t="inlineStr">
        <is>
          <t>mm</t>
        </is>
      </c>
    </row>
    <row r="24">
      <c r="H24" s="58" t="inlineStr">
        <is>
          <t>range r</t>
        </is>
      </c>
      <c r="I24" s="61">
        <f>MAX(F3:F22)-MIN(F3:F22)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12" t="inlineStr">
        <is>
          <t>x_ideal →</t>
        </is>
      </c>
      <c r="B25" s="13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AVERAGE(C26:C45)</f>
        <v/>
      </c>
      <c r="H26" s="52" t="inlineStr">
        <is>
          <t>mean θ (deg)</t>
        </is>
      </c>
      <c r="I26">
        <f>AVERAGE(D3:D22)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_xlfn.STDEV.S(D3:D22)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_xlfn.STDEV.S(C26:C45)</f>
        <v/>
      </c>
      <c r="H28" s="52" t="inlineStr">
        <is>
          <t>mean θ (rad)</t>
        </is>
      </c>
      <c r="I28" s="55">
        <f>AVERAGE(E3:E22)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_xlfn.STDEV.S(E3:E22)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MAX(D3:D22)-MIN(D3:D22)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MAX(E3:E22)-MIN(E3:E22)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B41" t="n">
        <v>16</v>
      </c>
      <c r="C41" s="37">
        <f>$B18+102</f>
        <v/>
      </c>
    </row>
    <row r="42">
      <c r="B42" t="n">
        <v>17</v>
      </c>
      <c r="C42" s="37">
        <f>$B19+102</f>
        <v/>
      </c>
    </row>
    <row r="43">
      <c r="B43" t="n">
        <v>18</v>
      </c>
      <c r="C43" s="37">
        <f>$B20+102</f>
        <v/>
      </c>
    </row>
    <row r="44">
      <c r="B44" t="n">
        <v>19</v>
      </c>
      <c r="C44" s="37">
        <f>$B21+102</f>
        <v/>
      </c>
    </row>
    <row r="45">
      <c r="B45" t="n">
        <v>20</v>
      </c>
      <c r="C45" s="37">
        <f>$B22+102</f>
        <v/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topLeftCell="D1" zoomScale="81" zoomScaleNormal="100" workbookViewId="0">
      <selection activeCell="D29" sqref="D29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2.5546875" customWidth="1" min="5" max="5"/>
    <col width="18" customWidth="1" min="6" max="6"/>
    <col width="3" customWidth="1" min="7" max="7"/>
    <col width="28" customWidth="1" min="8" max="8"/>
    <col width="19.77734375" customWidth="1" min="9" max="9"/>
    <col width="7.88671875" customWidth="1" min="10" max="10"/>
    <col width="30" customWidth="1" min="11" max="11"/>
  </cols>
  <sheetData>
    <row r="1" ht="31.5" customHeight="1">
      <c r="A1" s="63" t="inlineStr">
        <is>
          <t>Experiment 3 — Raw Data   |   Draw Length  L = 120 mm   |   n = 15  shots</t>
        </is>
      </c>
    </row>
    <row r="2" ht="42" customHeight="1">
      <c r="A2" s="39" t="inlineStr">
        <is>
          <t>Shot #</t>
        </is>
      </c>
      <c r="B2" s="39" t="inlineStr">
        <is>
          <t>x (mm)</t>
        </is>
      </c>
      <c r="C2" s="39" t="inlineStr">
        <is>
          <t>y (mm)</t>
        </is>
      </c>
      <c r="D2" s="39" t="inlineStr">
        <is>
          <t>theta(deg)</t>
        </is>
      </c>
      <c r="E2" s="39" t="inlineStr">
        <is>
          <t>theta(rad)</t>
        </is>
      </c>
      <c r="F2" s="39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40" t="n">
        <v>1</v>
      </c>
      <c r="B3" s="40">
        <f>1900+50</f>
        <v/>
      </c>
      <c r="C3" s="40" t="n">
        <v>10</v>
      </c>
      <c r="D3">
        <f>DEGREES(E3)</f>
        <v/>
      </c>
      <c r="E3" s="53">
        <f>ATAN(C3/B3)</f>
        <v/>
      </c>
      <c r="F3" s="44">
        <f>SQRT(B3^2+E3^2)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40" t="n">
        <v>2</v>
      </c>
      <c r="B4" s="40">
        <f>1900+28</f>
        <v/>
      </c>
      <c r="C4" s="40" t="n">
        <v>12</v>
      </c>
      <c r="D4">
        <f>DEGREES(E4)</f>
        <v/>
      </c>
      <c r="E4" s="53">
        <f>ATAN(C4/B4)</f>
        <v/>
      </c>
      <c r="F4" s="44">
        <f>SQRT(B4^2+D4^2)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40" t="n">
        <v>3</v>
      </c>
      <c r="B5" s="40">
        <f>1900+22</f>
        <v/>
      </c>
      <c r="C5" s="40" t="n">
        <v>15</v>
      </c>
      <c r="D5">
        <f>DEGREES(E5)</f>
        <v/>
      </c>
      <c r="E5" s="53">
        <f>ATAN(C5/B5)</f>
        <v/>
      </c>
      <c r="F5" s="44">
        <f>SQRT(B5^2+D5^2)</f>
        <v/>
      </c>
      <c r="H5" s="5" t="inlineStr">
        <is>
          <t>x̄   (mean x)</t>
        </is>
      </c>
      <c r="I5" s="14">
        <f>AVERAGE(B3:B17)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40" t="n">
        <v>4</v>
      </c>
      <c r="B6" s="40">
        <f>1900+6</f>
        <v/>
      </c>
      <c r="C6" s="40" t="n">
        <v>13</v>
      </c>
      <c r="D6">
        <f>DEGREES(E6)</f>
        <v/>
      </c>
      <c r="E6" s="53">
        <f>ATAN(C6/B6)</f>
        <v/>
      </c>
      <c r="F6" s="44">
        <f>SQRT(B6^2+D6^2)</f>
        <v/>
      </c>
      <c r="H6" s="5" t="inlineStr">
        <is>
          <t>σx  (std dev x)</t>
        </is>
      </c>
      <c r="I6" s="6">
        <f>_xlfn.STDEV.S(B3:B17)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40" t="n">
        <v>5</v>
      </c>
      <c r="B7" s="40">
        <f>1900-5</f>
        <v/>
      </c>
      <c r="C7" s="40" t="n">
        <v>6</v>
      </c>
      <c r="D7">
        <f>DEGREES(E7)</f>
        <v/>
      </c>
      <c r="E7" s="53">
        <f>ATAN(C7/B7)</f>
        <v/>
      </c>
      <c r="F7" s="44">
        <f>SQRT(B7^2+D7^2)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40" t="n">
        <v>6</v>
      </c>
      <c r="B8" s="40">
        <f>1900-28</f>
        <v/>
      </c>
      <c r="C8" s="40" t="n">
        <v>16</v>
      </c>
      <c r="D8">
        <f>DEGREES(E8)</f>
        <v/>
      </c>
      <c r="E8" s="53">
        <f>ATAN(C8/B8)</f>
        <v/>
      </c>
      <c r="F8" s="44">
        <f>SQRT(B8^2+D8^2)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40" t="n">
        <v>7</v>
      </c>
      <c r="B9" s="40">
        <f>1900+13</f>
        <v/>
      </c>
      <c r="C9" s="40" t="n">
        <v>20</v>
      </c>
      <c r="D9">
        <f>DEGREES(E9)</f>
        <v/>
      </c>
      <c r="E9" s="53">
        <f>ATAN(C9/B9)</f>
        <v/>
      </c>
      <c r="F9" s="44">
        <f>SQRT(B9^2+D9^2)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40" t="n">
        <v>8</v>
      </c>
      <c r="B10" s="40">
        <f>1900+39</f>
        <v/>
      </c>
      <c r="C10" s="40" t="n">
        <v>-4</v>
      </c>
      <c r="D10">
        <f>DEGREES(E10)</f>
        <v/>
      </c>
      <c r="E10" s="53">
        <f>ATAN(C10/B10)</f>
        <v/>
      </c>
      <c r="F10" s="44">
        <f>SQRT(B10^2+D10^2)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40" t="n">
        <v>9</v>
      </c>
      <c r="B11" s="40">
        <f>1900+64</f>
        <v/>
      </c>
      <c r="C11" s="40" t="n">
        <v>0</v>
      </c>
      <c r="D11">
        <f>DEGREES(E11)</f>
        <v/>
      </c>
      <c r="E11" s="53">
        <f>ATAN(C11/B11)</f>
        <v/>
      </c>
      <c r="F11" s="44">
        <f>SQRT(B11^2+D11^2)</f>
        <v/>
      </c>
      <c r="H11" s="5" t="inlineStr">
        <is>
          <t>range x</t>
        </is>
      </c>
      <c r="I11" s="10">
        <f>MAX(B3:B17)-MIN(B3:B17)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40" t="n">
        <v>10</v>
      </c>
      <c r="B12" s="40">
        <f>1900-21</f>
        <v/>
      </c>
      <c r="C12" s="40" t="n">
        <v>-9</v>
      </c>
      <c r="D12">
        <f>DEGREES(E12)</f>
        <v/>
      </c>
      <c r="E12" s="53">
        <f>ATAN(C12/B12)</f>
        <v/>
      </c>
      <c r="F12" s="44">
        <f>SQRT(B12^2+D12^2)</f>
        <v/>
      </c>
      <c r="H12" s="11" t="n"/>
      <c r="I12" s="11" t="n"/>
      <c r="J12" s="11" t="n"/>
      <c r="K12" s="11" t="n"/>
    </row>
    <row r="13" ht="15" customHeight="1">
      <c r="A13" s="40" t="n">
        <v>11</v>
      </c>
      <c r="B13" s="40">
        <f>1900+5</f>
        <v/>
      </c>
      <c r="C13" s="40" t="n">
        <v>18</v>
      </c>
      <c r="D13">
        <f>DEGREES(E13)</f>
        <v/>
      </c>
      <c r="E13" s="53">
        <f>ATAN(C13/B13)</f>
        <v/>
      </c>
      <c r="F13" s="44">
        <f>SQRT(B13^2+D13^2)</f>
        <v/>
      </c>
      <c r="H13" s="5" t="inlineStr">
        <is>
          <t>ȳ   (mean y)</t>
        </is>
      </c>
      <c r="I13" s="6">
        <f>AVERAGE(C3:C17)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40" t="n">
        <v>12</v>
      </c>
      <c r="B14" s="40">
        <f>1900+26</f>
        <v/>
      </c>
      <c r="C14" s="40" t="n">
        <v>0</v>
      </c>
      <c r="D14">
        <f>DEGREES(E14)</f>
        <v/>
      </c>
      <c r="E14" s="53">
        <f>ATAN(C14/B14)</f>
        <v/>
      </c>
      <c r="F14" s="44">
        <f>SQRT(B14^2+D14^2)</f>
        <v/>
      </c>
      <c r="H14" s="5" t="inlineStr">
        <is>
          <t>σy  (std dev y)</t>
        </is>
      </c>
      <c r="I14" s="6">
        <f>_xlfn.STDEV.S(C3:C17)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40" t="n">
        <v>13</v>
      </c>
      <c r="B15" s="40">
        <f>1900+17</f>
        <v/>
      </c>
      <c r="C15" s="40" t="n">
        <v>-18</v>
      </c>
      <c r="D15">
        <f>DEGREES(E15)</f>
        <v/>
      </c>
      <c r="E15" s="53">
        <f>ATAN(C15/B15)</f>
        <v/>
      </c>
      <c r="F15" s="44">
        <f>SQRT(B15^2+D15^2)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40" t="n">
        <v>14</v>
      </c>
      <c r="B16" s="40">
        <f>1900+64</f>
        <v/>
      </c>
      <c r="C16" s="40" t="n">
        <v>-6</v>
      </c>
      <c r="D16">
        <f>DEGREES(E16)</f>
        <v/>
      </c>
      <c r="E16" s="53">
        <f>ATAN(C16/B16)</f>
        <v/>
      </c>
      <c r="F16" s="44">
        <f>SQRT(B16^2+D16^2)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40" t="n">
        <v>15</v>
      </c>
      <c r="B17" s="40">
        <f>1900-7</f>
        <v/>
      </c>
      <c r="C17" s="40" t="n">
        <v>10</v>
      </c>
      <c r="D17">
        <f>DEGREES(E17)</f>
        <v/>
      </c>
      <c r="E17" s="53">
        <f>ATAN(C17/B17)</f>
        <v/>
      </c>
      <c r="F17" s="44">
        <f>SQRT(B17^2+D17^2)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40" t="n"/>
      <c r="B18" s="40" t="n"/>
      <c r="C18" s="40" t="n"/>
      <c r="D18" s="41" t="n"/>
      <c r="E18" s="41" t="n"/>
      <c r="F18" s="42" t="n"/>
      <c r="H18" s="58" t="inlineStr">
        <is>
          <t>range y</t>
        </is>
      </c>
      <c r="I18" s="59">
        <f>MAX(C3:C17)-MIN(C3:C17)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40" t="n"/>
      <c r="B19" s="40" t="n"/>
      <c r="C19" s="40" t="n"/>
      <c r="D19" s="41" t="n"/>
      <c r="E19" s="41" t="n"/>
      <c r="F19" s="42" t="n"/>
    </row>
    <row r="20" ht="15" customHeight="1">
      <c r="A20" s="40" t="n"/>
      <c r="B20" s="40" t="n"/>
      <c r="C20" s="40" t="n"/>
      <c r="D20" s="41" t="n"/>
      <c r="E20" s="41" t="n"/>
      <c r="F20" s="42" t="n"/>
      <c r="H20" s="5" t="inlineStr">
        <is>
          <t>r̄   (mean radial error)</t>
        </is>
      </c>
      <c r="I20" s="6">
        <f>AVERAGE(F3:F17)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40" t="n"/>
      <c r="B21" s="40" t="n"/>
      <c r="C21" s="40" t="n"/>
      <c r="D21" s="41" t="n"/>
      <c r="E21" s="41" t="n"/>
      <c r="F21" s="42" t="n"/>
      <c r="H21" s="5" t="inlineStr">
        <is>
          <t>σr  (std dev radial)</t>
        </is>
      </c>
      <c r="I21" s="6">
        <f>_xlfn.STDEV.S(F3:F17)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40" t="n"/>
      <c r="B22" s="40" t="n"/>
      <c r="C22" s="40" t="n"/>
      <c r="D22" s="41" t="n"/>
      <c r="E22" s="41" t="n"/>
      <c r="F22" s="42" t="n"/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40" t="n"/>
      <c r="B23" s="40" t="n"/>
      <c r="C23" s="40" t="n"/>
      <c r="D23" s="41" t="n"/>
      <c r="E23" s="41" t="n"/>
      <c r="F23" s="42" t="n"/>
      <c r="H23" s="5" t="inlineStr">
        <is>
          <t>2σr</t>
        </is>
      </c>
      <c r="I23" s="38">
        <f>I22-I20</f>
        <v/>
      </c>
    </row>
    <row r="24">
      <c r="H24" s="58" t="inlineStr">
        <is>
          <t>range r</t>
        </is>
      </c>
      <c r="I24" s="59">
        <f>MAX(F3:F17)-MIN(F3:F17)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50" t="inlineStr">
        <is>
          <t>x_ideal →</t>
        </is>
      </c>
      <c r="B25" s="51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mean θ (deg)</t>
        </is>
      </c>
      <c r="I26">
        <f>AVERAGE(D3:D17)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_xlfn.STDEV.S(D3:D17)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2" t="inlineStr">
        <is>
          <t>mean θ (rad)</t>
        </is>
      </c>
      <c r="I28" s="55">
        <f>AVERAGE(E3:E17)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_xlfn.STDEV.S(E3:E17)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MAX(D3:D17)-MIN(D3:D17)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MAX(E3:E17)-MIN(E3:E17)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5"/>
  <sheetViews>
    <sheetView zoomScale="81" zoomScaleNormal="100" workbookViewId="0">
      <selection activeCell="D31" sqref="D31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4.6640625" customWidth="1" min="5" max="5"/>
    <col width="18" customWidth="1" min="6" max="6"/>
    <col width="3" customWidth="1" min="7" max="7"/>
    <col width="28" customWidth="1" min="8" max="8"/>
    <col width="20.441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120 mm   |   n = 25  shots</t>
        </is>
      </c>
    </row>
    <row r="2" ht="42" customHeight="1">
      <c r="A2" s="1" t="inlineStr">
        <is>
          <t>Shot #</t>
        </is>
      </c>
      <c r="B2" s="1" t="inlineStr">
        <is>
          <t>x (mm)</t>
        </is>
      </c>
      <c r="C2" s="1" t="inlineStr">
        <is>
          <t>y (mm)</t>
        </is>
      </c>
      <c r="D2" s="1" t="inlineStr">
        <is>
          <t>theta(deg)</t>
        </is>
      </c>
      <c r="E2" s="1" t="inlineStr">
        <is>
          <t>theta(rad)</t>
        </is>
      </c>
      <c r="F2" s="1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2" t="n">
        <v>1</v>
      </c>
      <c r="B3" s="2">
        <f>2000-68</f>
        <v/>
      </c>
      <c r="C3" s="2" t="n">
        <v>12</v>
      </c>
      <c r="D3">
        <f>DEGREES(E3)</f>
        <v/>
      </c>
      <c r="E3" s="53">
        <f>ATAN(C3/B3)</f>
        <v/>
      </c>
      <c r="F3" s="6">
        <f>SQRT(B3^2+C3^2)</f>
        <v/>
      </c>
      <c r="H3" s="5" t="inlineStr">
        <is>
          <t>n  (samples)</t>
        </is>
      </c>
      <c r="I3" s="6" t="n">
        <v>25</v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2" t="n">
        <v>2</v>
      </c>
      <c r="B4" s="2">
        <f>2000-8</f>
        <v/>
      </c>
      <c r="C4" s="2" t="n">
        <v>11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2" t="n">
        <v>3</v>
      </c>
      <c r="B5" s="2">
        <f>2000+1</f>
        <v/>
      </c>
      <c r="C5" s="2" t="n">
        <v>11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AVERAGE(B3:B27)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2" t="n">
        <v>4</v>
      </c>
      <c r="B6" s="2">
        <f>2000-49</f>
        <v/>
      </c>
      <c r="C6" s="2" t="n">
        <v>4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_xlfn.STDEV.S(B3:B27)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2" t="n">
        <v>5</v>
      </c>
      <c r="B7" s="2">
        <f>2000+11</f>
        <v/>
      </c>
      <c r="C7" s="2" t="n">
        <v>7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2" t="n">
        <v>6</v>
      </c>
      <c r="B8" s="2">
        <f>2000-13</f>
        <v/>
      </c>
      <c r="C8" s="2" t="n">
        <v>12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2" t="n">
        <v>7</v>
      </c>
      <c r="B9" s="2">
        <f>2000-36</f>
        <v/>
      </c>
      <c r="C9" s="2" t="n">
        <v>17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2" t="n">
        <v>8</v>
      </c>
      <c r="B10" s="2">
        <f>2000-92</f>
        <v/>
      </c>
      <c r="C10" s="2" t="n">
        <v>-14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2" t="n">
        <v>9</v>
      </c>
      <c r="B11" s="2">
        <f>2000-42</f>
        <v/>
      </c>
      <c r="C11" s="2" t="n">
        <v>-7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MAX(B3:B27)-MIN(B3:B27)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2" t="n">
        <v>10</v>
      </c>
      <c r="B12" s="2">
        <f>2000-65</f>
        <v/>
      </c>
      <c r="C12" s="2" t="n">
        <v>3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2" t="n">
        <v>11</v>
      </c>
      <c r="B13" s="2">
        <f>2000-14</f>
        <v/>
      </c>
      <c r="C13" s="2" t="n">
        <v>3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AVERAGE(C3:C27)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2" t="n">
        <v>12</v>
      </c>
      <c r="B14" s="2">
        <f>2000-72</f>
        <v/>
      </c>
      <c r="C14" s="2" t="n">
        <v>-12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_xlfn.STDEV.S(C3:C27)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2" t="n">
        <v>13</v>
      </c>
      <c r="B15" s="2">
        <f>2000-73</f>
        <v/>
      </c>
      <c r="C15" s="2" t="n">
        <v>10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2" t="n">
        <v>14</v>
      </c>
      <c r="B16" s="2">
        <f>2000-31</f>
        <v/>
      </c>
      <c r="C16" s="2" t="n">
        <v>10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2" t="n">
        <v>15</v>
      </c>
      <c r="B17" s="2">
        <f>2000+4</f>
        <v/>
      </c>
      <c r="C17" s="2" t="n">
        <v>3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2" t="n">
        <v>16</v>
      </c>
      <c r="B18" s="2">
        <f>2000-31</f>
        <v/>
      </c>
      <c r="C18" s="2" t="n">
        <v>-4</v>
      </c>
      <c r="D18">
        <f>DEGREES(E18)</f>
        <v/>
      </c>
      <c r="E18" s="53">
        <f>ATAN(C18/B18)</f>
        <v/>
      </c>
      <c r="F18" s="6">
        <f>SQRT(B18^2+C18^2)</f>
        <v/>
      </c>
      <c r="H18" s="58" t="inlineStr">
        <is>
          <t>range y</t>
        </is>
      </c>
      <c r="I18" s="59">
        <f>MAX(C3:C27)-MIN(C3:C27)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2" t="n">
        <v>17</v>
      </c>
      <c r="B19" s="2">
        <f>2000-31</f>
        <v/>
      </c>
      <c r="C19" s="2" t="n">
        <v>-12</v>
      </c>
      <c r="D19">
        <f>DEGREES(E19)</f>
        <v/>
      </c>
      <c r="E19" s="53">
        <f>ATAN(C19/B19)</f>
        <v/>
      </c>
      <c r="F19" s="44">
        <f>SQRT(B19^2+C19^2)</f>
        <v/>
      </c>
    </row>
    <row r="20" ht="15" customHeight="1">
      <c r="A20" s="2" t="n">
        <v>18</v>
      </c>
      <c r="B20" s="2">
        <f>2000-10</f>
        <v/>
      </c>
      <c r="C20" s="2" t="n">
        <v>7</v>
      </c>
      <c r="D20">
        <f>DEGREES(E20)</f>
        <v/>
      </c>
      <c r="E20" s="53">
        <f>ATAN(C20/B20)</f>
        <v/>
      </c>
      <c r="F20" s="44">
        <f>SQRT(B20^2+C20^2)</f>
        <v/>
      </c>
      <c r="H20" s="5" t="inlineStr">
        <is>
          <t>r̄   (mean radial error)</t>
        </is>
      </c>
      <c r="I20" s="6">
        <f>AVERAGE(F3:F27)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2" t="n">
        <v>19</v>
      </c>
      <c r="B21" s="2">
        <f>2000-49</f>
        <v/>
      </c>
      <c r="C21" s="2" t="n">
        <v>13</v>
      </c>
      <c r="D21">
        <f>DEGREES(E21)</f>
        <v/>
      </c>
      <c r="E21" s="53">
        <f>ATAN(C21/B21)</f>
        <v/>
      </c>
      <c r="F21" s="44">
        <f>SQRT(B21^2+C21^2)</f>
        <v/>
      </c>
      <c r="H21" s="5" t="inlineStr">
        <is>
          <t>σr  (std dev radial)</t>
        </is>
      </c>
      <c r="I21" s="6">
        <f>STDEV(F3:F27)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2" t="n">
        <v>20</v>
      </c>
      <c r="B22" s="2">
        <f>2000-10</f>
        <v/>
      </c>
      <c r="C22" s="2" t="n">
        <v>15</v>
      </c>
      <c r="D22">
        <f>DEGREES(E22)</f>
        <v/>
      </c>
      <c r="E22" s="53">
        <f>ATAN(C22/B22)</f>
        <v/>
      </c>
      <c r="F22" s="44">
        <f>SQRT(B22^2+C22^2)</f>
        <v/>
      </c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2" t="n">
        <v>21</v>
      </c>
      <c r="B23" s="2">
        <f>2000-10</f>
        <v/>
      </c>
      <c r="C23" s="2" t="n">
        <v>19</v>
      </c>
      <c r="D23">
        <f>DEGREES(E23)</f>
        <v/>
      </c>
      <c r="E23" s="53">
        <f>ATAN(C23/B23)</f>
        <v/>
      </c>
      <c r="F23" s="6">
        <f>SQRT(B23^2+C23^2)</f>
        <v/>
      </c>
      <c r="H23" s="5" t="inlineStr">
        <is>
          <t>2σr</t>
        </is>
      </c>
      <c r="I23" s="60">
        <f>I22-I20</f>
        <v/>
      </c>
      <c r="J23" s="54" t="inlineStr">
        <is>
          <t>mm</t>
        </is>
      </c>
    </row>
    <row r="24">
      <c r="A24" s="2" t="n">
        <v>22</v>
      </c>
      <c r="B24" s="2">
        <f>2000-52</f>
        <v/>
      </c>
      <c r="C24" s="2" t="n">
        <v>7</v>
      </c>
      <c r="D24">
        <f>DEGREES(E24)</f>
        <v/>
      </c>
      <c r="E24" s="53">
        <f>ATAN(C24/B24)</f>
        <v/>
      </c>
      <c r="F24" s="44">
        <f>SQRT(B24^2+C24^2)</f>
        <v/>
      </c>
      <c r="H24" s="58" t="inlineStr">
        <is>
          <t>range r</t>
        </is>
      </c>
      <c r="I24" s="61">
        <f>MAX(F3:F27)-MIN(F3:F27)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2" t="n">
        <v>23</v>
      </c>
      <c r="B25" s="2">
        <f>2000-71</f>
        <v/>
      </c>
      <c r="C25" s="2" t="n">
        <v>-20</v>
      </c>
      <c r="D25">
        <f>DEGREES(E25)</f>
        <v/>
      </c>
      <c r="E25" s="53">
        <f>ATAN(C25/B25)</f>
        <v/>
      </c>
      <c r="F25" s="44">
        <f>SQRT(B25^2+C25^2)</f>
        <v/>
      </c>
    </row>
    <row r="26">
      <c r="A26" s="2" t="n">
        <v>24</v>
      </c>
      <c r="B26" s="2">
        <f>2000-64</f>
        <v/>
      </c>
      <c r="C26" s="2" t="n">
        <v>-15</v>
      </c>
      <c r="D26">
        <f>DEGREES(E26)</f>
        <v/>
      </c>
      <c r="E26" s="53">
        <f>ATAN(C26/B26)</f>
        <v/>
      </c>
      <c r="F26" s="44">
        <f>SQRT(B26^2+C26^2)</f>
        <v/>
      </c>
      <c r="H26" s="52" t="inlineStr">
        <is>
          <t>mean θ (deg)</t>
        </is>
      </c>
      <c r="I26">
        <f>AVERAGE(D3:D27)</f>
        <v/>
      </c>
      <c r="J26" s="56" t="inlineStr">
        <is>
          <t>deg</t>
        </is>
      </c>
    </row>
    <row r="27">
      <c r="A27" s="2" t="n">
        <v>25</v>
      </c>
      <c r="B27" s="2">
        <f>2000-24</f>
        <v/>
      </c>
      <c r="C27" s="2" t="n">
        <v>25</v>
      </c>
      <c r="D27">
        <f>DEGREES(E27)</f>
        <v/>
      </c>
      <c r="E27" s="53">
        <f>ATAN(C27/B27)</f>
        <v/>
      </c>
      <c r="F27" s="44">
        <f>SQRT(B27^2+C27^2)</f>
        <v/>
      </c>
      <c r="H27" s="52" t="inlineStr">
        <is>
          <t>σθ (deg)</t>
        </is>
      </c>
      <c r="I27">
        <f>_xlfn.STDEV.S(D3:D27)</f>
        <v/>
      </c>
      <c r="J27" s="56" t="inlineStr">
        <is>
          <t>deg</t>
        </is>
      </c>
    </row>
    <row r="28">
      <c r="H28" s="52" t="inlineStr">
        <is>
          <t>mean θ (rad)</t>
        </is>
      </c>
      <c r="I28" s="55">
        <f>AVERAGE(E3:E27)</f>
        <v/>
      </c>
      <c r="J28" s="56" t="inlineStr">
        <is>
          <t>rad</t>
        </is>
      </c>
    </row>
    <row r="29">
      <c r="H29" s="52" t="inlineStr">
        <is>
          <t>σθ (rad)</t>
        </is>
      </c>
      <c r="I29">
        <f>_xlfn.STDEV.S(E3:E27)</f>
        <v/>
      </c>
      <c r="J29" s="56" t="inlineStr">
        <is>
          <t>rad</t>
        </is>
      </c>
    </row>
    <row r="30">
      <c r="A30" s="12" t="inlineStr">
        <is>
          <t>x_ideal →</t>
        </is>
      </c>
      <c r="B30" s="13" t="n">
        <v>2486</v>
      </c>
      <c r="C30" t="inlineStr">
        <is>
          <t>x_real</t>
        </is>
      </c>
      <c r="D30" t="inlineStr">
        <is>
          <t>x̄_real   (mean x_real)</t>
        </is>
      </c>
      <c r="H30" s="58" t="inlineStr">
        <is>
          <t xml:space="preserve">range θ </t>
        </is>
      </c>
      <c r="I30" s="61">
        <f>MAX(D3:D27)-MIN(D3:D27)</f>
        <v/>
      </c>
      <c r="J30" s="7" t="inlineStr">
        <is>
          <t>deg</t>
        </is>
      </c>
    </row>
    <row r="31">
      <c r="B31" t="n">
        <v>1</v>
      </c>
      <c r="C31" s="37">
        <f>$B3+102</f>
        <v/>
      </c>
      <c r="D31" s="38">
        <f>AVERAGE(C31:C50)</f>
        <v/>
      </c>
      <c r="H31" s="58" t="inlineStr">
        <is>
          <t xml:space="preserve">range θ </t>
        </is>
      </c>
      <c r="I31" s="61">
        <f>MAX(E3:E27)-MIN(E3:E27)</f>
        <v/>
      </c>
      <c r="J31" s="7" t="inlineStr">
        <is>
          <t>rad</t>
        </is>
      </c>
    </row>
    <row r="32">
      <c r="B32" t="n">
        <v>2</v>
      </c>
      <c r="C32" s="37">
        <f>$B4+102</f>
        <v/>
      </c>
      <c r="D32" t="inlineStr">
        <is>
          <t>σx_real  (std dev x_real)</t>
        </is>
      </c>
    </row>
    <row r="33">
      <c r="B33" t="n">
        <v>3</v>
      </c>
      <c r="C33" s="37">
        <f>$B5+102</f>
        <v/>
      </c>
      <c r="D33">
        <f>_xlfn.STDEV.S(C31:C50)</f>
        <v/>
      </c>
    </row>
    <row r="34">
      <c r="B34" t="n">
        <v>4</v>
      </c>
      <c r="C34" s="37">
        <f>$B6+102</f>
        <v/>
      </c>
    </row>
    <row r="35">
      <c r="B35" t="n">
        <v>5</v>
      </c>
      <c r="C35" s="37">
        <f>$B7+102</f>
        <v/>
      </c>
    </row>
    <row r="36">
      <c r="B36" t="n">
        <v>6</v>
      </c>
      <c r="C36" s="37">
        <f>$B8+102</f>
        <v/>
      </c>
    </row>
    <row r="37">
      <c r="B37" t="n">
        <v>7</v>
      </c>
      <c r="C37" s="37">
        <f>$B9+102</f>
        <v/>
      </c>
    </row>
    <row r="38">
      <c r="B38" t="n">
        <v>8</v>
      </c>
      <c r="C38" s="37">
        <f>$B10+102</f>
        <v/>
      </c>
    </row>
    <row r="39">
      <c r="B39" t="n">
        <v>9</v>
      </c>
      <c r="C39" s="37">
        <f>$B11+102</f>
        <v/>
      </c>
    </row>
    <row r="40">
      <c r="B40" t="n">
        <v>10</v>
      </c>
      <c r="C40" s="37">
        <f>$B12+102</f>
        <v/>
      </c>
    </row>
    <row r="41">
      <c r="B41" t="n">
        <v>11</v>
      </c>
      <c r="C41" s="37">
        <f>$B13+102</f>
        <v/>
      </c>
    </row>
    <row r="42">
      <c r="B42" t="n">
        <v>12</v>
      </c>
      <c r="C42" s="37">
        <f>$B14+102</f>
        <v/>
      </c>
    </row>
    <row r="43">
      <c r="B43" t="n">
        <v>13</v>
      </c>
      <c r="C43" s="37">
        <f>$B15+102</f>
        <v/>
      </c>
    </row>
    <row r="44">
      <c r="B44" t="n">
        <v>14</v>
      </c>
      <c r="C44" s="37">
        <f>$B16+102</f>
        <v/>
      </c>
    </row>
    <row r="45">
      <c r="B45" t="n">
        <v>15</v>
      </c>
      <c r="C45" s="37">
        <f>$B17+102</f>
        <v/>
      </c>
    </row>
    <row r="46">
      <c r="B46" t="n">
        <v>16</v>
      </c>
      <c r="C46" s="37">
        <f>$B18+102</f>
        <v/>
      </c>
    </row>
    <row r="47">
      <c r="B47" t="n">
        <v>17</v>
      </c>
      <c r="C47" s="37">
        <f>$B19+102</f>
        <v/>
      </c>
    </row>
    <row r="48">
      <c r="B48" t="n">
        <v>18</v>
      </c>
      <c r="C48" s="37">
        <f>$B20+102</f>
        <v/>
      </c>
    </row>
    <row r="49">
      <c r="B49" t="n">
        <v>19</v>
      </c>
      <c r="C49" s="37">
        <f>$B21+102</f>
        <v/>
      </c>
    </row>
    <row r="50">
      <c r="B50" t="n">
        <v>20</v>
      </c>
      <c r="C50" s="37">
        <f>$B22+102</f>
        <v/>
      </c>
    </row>
    <row r="51">
      <c r="B51" t="n">
        <v>21</v>
      </c>
      <c r="C51" s="37">
        <f>$B23+102</f>
        <v/>
      </c>
    </row>
    <row r="52">
      <c r="B52" t="n">
        <v>22</v>
      </c>
      <c r="C52" s="37">
        <f>$B24+102</f>
        <v/>
      </c>
    </row>
    <row r="53">
      <c r="B53" t="n">
        <v>23</v>
      </c>
      <c r="C53" s="37">
        <f>$B25+102</f>
        <v/>
      </c>
    </row>
    <row r="54">
      <c r="B54" t="n">
        <v>24</v>
      </c>
      <c r="C54" s="37">
        <f>$B26+102</f>
        <v/>
      </c>
    </row>
    <row r="55">
      <c r="B55" t="n">
        <v>25</v>
      </c>
      <c r="C55" s="37">
        <f>$B27+102</f>
        <v/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81" zoomScaleNormal="100" workbookViewId="0">
      <selection activeCell="A2" sqref="A2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2.5546875" customWidth="1" min="5" max="5"/>
    <col width="18" customWidth="1" min="6" max="6"/>
    <col width="3" customWidth="1" min="7" max="7"/>
    <col width="28" customWidth="1" min="8" max="8"/>
    <col width="20.66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125 mm   |   n = 15  shots</t>
        </is>
      </c>
    </row>
    <row r="2" ht="42" customHeight="1">
      <c r="A2" s="39" t="inlineStr">
        <is>
          <t>Shot #</t>
        </is>
      </c>
      <c r="B2" s="39" t="inlineStr">
        <is>
          <t>x (mm)</t>
        </is>
      </c>
      <c r="C2" s="39" t="inlineStr">
        <is>
          <t>y (mm)</t>
        </is>
      </c>
      <c r="D2" s="39" t="inlineStr">
        <is>
          <t>theta(deg)</t>
        </is>
      </c>
      <c r="E2" s="39" t="inlineStr">
        <is>
          <t>theta(rad)</t>
        </is>
      </c>
      <c r="F2" s="39" t="inlineStr">
        <is>
          <t>Radial r (mm)</t>
        </is>
      </c>
      <c r="H2" s="39" t="inlineStr">
        <is>
          <t>Parameter</t>
        </is>
      </c>
      <c r="I2" s="39" t="inlineStr">
        <is>
          <t>Value</t>
        </is>
      </c>
      <c r="J2" s="39" t="inlineStr">
        <is>
          <t>Unit</t>
        </is>
      </c>
      <c r="K2" s="39" t="inlineStr">
        <is>
          <t>Description</t>
        </is>
      </c>
    </row>
    <row r="3" ht="15" customHeight="1">
      <c r="A3" s="40" t="n">
        <v>1</v>
      </c>
      <c r="B3" s="40">
        <f>2100-60</f>
        <v/>
      </c>
      <c r="C3" s="40" t="n">
        <v>-27</v>
      </c>
      <c r="D3">
        <f>DEGREES(E3)</f>
        <v/>
      </c>
      <c r="E3" s="53">
        <f>ATAN(C3/B3)</f>
        <v/>
      </c>
      <c r="F3" s="44">
        <f>SQRT(B3^2+E3^2)</f>
        <v/>
      </c>
      <c r="H3" s="43" t="inlineStr">
        <is>
          <t>n  (samples)</t>
        </is>
      </c>
      <c r="I3" s="44">
        <f>COUNTA(B3:B22)</f>
        <v/>
      </c>
      <c r="J3" s="45" t="inlineStr">
        <is>
          <t>—</t>
        </is>
      </c>
      <c r="K3" s="46" t="inlineStr">
        <is>
          <t xml:space="preserve"> Shot count</t>
        </is>
      </c>
    </row>
    <row r="4" ht="15" customHeight="1">
      <c r="A4" s="40" t="n">
        <v>2</v>
      </c>
      <c r="B4" s="40">
        <f>2100-136</f>
        <v/>
      </c>
      <c r="C4" s="40" t="n">
        <v>9</v>
      </c>
      <c r="D4">
        <f>DEGREES(E4)</f>
        <v/>
      </c>
      <c r="E4" s="53">
        <f>ATAN(C4/B4)</f>
        <v/>
      </c>
      <c r="F4" s="44">
        <f>SQRT(B4^2+D4^2)</f>
        <v/>
      </c>
      <c r="H4" s="43" t="inlineStr">
        <is>
          <t>x_ideal  (theoretical)</t>
        </is>
      </c>
      <c r="I4" s="44" t="n">
        <v>2486</v>
      </c>
      <c r="J4" s="45" t="inlineStr">
        <is>
          <t>mm</t>
        </is>
      </c>
      <c r="K4" s="46" t="inlineStr">
        <is>
          <t xml:space="preserve"> From calcSx model</t>
        </is>
      </c>
    </row>
    <row r="5" ht="15" customHeight="1">
      <c r="A5" s="40" t="n">
        <v>3</v>
      </c>
      <c r="B5" s="40">
        <f>2100-18</f>
        <v/>
      </c>
      <c r="C5" s="40" t="n">
        <v>-37</v>
      </c>
      <c r="D5">
        <f>DEGREES(E5)</f>
        <v/>
      </c>
      <c r="E5" s="53">
        <f>ATAN(C5/B5)</f>
        <v/>
      </c>
      <c r="F5" s="44">
        <f>SQRT(B5^2+D5^2)</f>
        <v/>
      </c>
      <c r="H5" s="43" t="inlineStr">
        <is>
          <t>x̄   (mean x)</t>
        </is>
      </c>
      <c r="I5" s="47">
        <f>AVERAGE(B3:B17)</f>
        <v/>
      </c>
      <c r="J5" s="45" t="inlineStr">
        <is>
          <t>mm</t>
        </is>
      </c>
      <c r="K5" s="46" t="inlineStr">
        <is>
          <t xml:space="preserve"> =AVERAGE(x₁…xₙ)</t>
        </is>
      </c>
    </row>
    <row r="6" ht="15" customHeight="1">
      <c r="A6" s="40" t="n">
        <v>4</v>
      </c>
      <c r="B6" s="40">
        <f>2100-70</f>
        <v/>
      </c>
      <c r="C6" s="40" t="n">
        <v>-25</v>
      </c>
      <c r="D6">
        <f>DEGREES(E6)</f>
        <v/>
      </c>
      <c r="E6" s="53">
        <f>ATAN(C6/B6)</f>
        <v/>
      </c>
      <c r="F6" s="44">
        <f>SQRT(B6^2+D6^2)</f>
        <v/>
      </c>
      <c r="H6" s="43" t="inlineStr">
        <is>
          <t>σx  (std dev x)</t>
        </is>
      </c>
      <c r="I6" s="44">
        <f>STDEV(B3:B17)</f>
        <v/>
      </c>
      <c r="J6" s="45" t="inlineStr">
        <is>
          <t>mm</t>
        </is>
      </c>
      <c r="K6" s="46" t="inlineStr">
        <is>
          <t xml:space="preserve"> =STDEV(x₁…xₙ)</t>
        </is>
      </c>
    </row>
    <row r="7" ht="15" customHeight="1">
      <c r="A7" s="40" t="n">
        <v>5</v>
      </c>
      <c r="B7" s="40">
        <f>2100-87</f>
        <v/>
      </c>
      <c r="C7" s="40" t="n">
        <v>-24</v>
      </c>
      <c r="D7">
        <f>DEGREES(E7)</f>
        <v/>
      </c>
      <c r="E7" s="53">
        <f>ATAN(C7/B7)</f>
        <v/>
      </c>
      <c r="F7" s="44">
        <f>SQRT(B7^2+D7^2)</f>
        <v/>
      </c>
      <c r="H7" s="43" t="inlineStr">
        <is>
          <t>SE_x</t>
        </is>
      </c>
      <c r="I7" s="48">
        <f>I6/SQRT(I3)</f>
        <v/>
      </c>
      <c r="J7" s="45" t="inlineStr">
        <is>
          <t>mm</t>
        </is>
      </c>
      <c r="K7" s="46" t="inlineStr">
        <is>
          <t xml:space="preserve"> =σx / √n   ← fixed</t>
        </is>
      </c>
    </row>
    <row r="8" ht="15" customHeight="1">
      <c r="A8" s="40" t="n">
        <v>6</v>
      </c>
      <c r="B8" s="40">
        <f>2100-119</f>
        <v/>
      </c>
      <c r="C8" s="40" t="n">
        <v>-38</v>
      </c>
      <c r="D8">
        <f>DEGREES(E8)</f>
        <v/>
      </c>
      <c r="E8" s="53">
        <f>ATAN(C8/B8)</f>
        <v/>
      </c>
      <c r="F8" s="44">
        <f>SQRT(B8^2+D8^2)</f>
        <v/>
      </c>
      <c r="H8" s="43" t="inlineStr">
        <is>
          <t>t  (95%, df=14)</t>
        </is>
      </c>
      <c r="I8" s="44" t="n">
        <v>2.1448</v>
      </c>
      <c r="J8" s="45" t="inlineStr">
        <is>
          <t>—</t>
        </is>
      </c>
      <c r="K8" s="46" t="inlineStr">
        <is>
          <t xml:space="preserve"> t₀.₀₂₅,₁₄</t>
        </is>
      </c>
    </row>
    <row r="9" ht="15" customHeight="1">
      <c r="A9" s="40" t="n">
        <v>7</v>
      </c>
      <c r="B9" s="40">
        <f>2100-55</f>
        <v/>
      </c>
      <c r="C9" s="40" t="n">
        <v>-14</v>
      </c>
      <c r="D9">
        <f>DEGREES(E9)</f>
        <v/>
      </c>
      <c r="E9" s="53">
        <f>ATAN(C9/B9)</f>
        <v/>
      </c>
      <c r="F9" s="44">
        <f>SQRT(B9^2+D9^2)</f>
        <v/>
      </c>
      <c r="H9" s="43" t="inlineStr">
        <is>
          <t>95% CI  lower x</t>
        </is>
      </c>
      <c r="I9" s="44">
        <f>I5-I8*I7</f>
        <v/>
      </c>
      <c r="J9" s="45" t="inlineStr">
        <is>
          <t>mm</t>
        </is>
      </c>
      <c r="K9" s="46" t="inlineStr">
        <is>
          <t xml:space="preserve"> =x̄ − t·SE_x</t>
        </is>
      </c>
    </row>
    <row r="10" ht="15" customHeight="1">
      <c r="A10" s="40" t="n">
        <v>8</v>
      </c>
      <c r="B10" s="40">
        <f>2100-38</f>
        <v/>
      </c>
      <c r="C10" s="40" t="n">
        <v>-39</v>
      </c>
      <c r="D10">
        <f>DEGREES(E10)</f>
        <v/>
      </c>
      <c r="E10" s="53">
        <f>ATAN(C10/B10)</f>
        <v/>
      </c>
      <c r="F10" s="44">
        <f>SQRT(B10^2+D10^2)</f>
        <v/>
      </c>
      <c r="H10" s="43" t="inlineStr">
        <is>
          <t>95% CI  upper x</t>
        </is>
      </c>
      <c r="I10" s="44">
        <f>I5+I8*I7</f>
        <v/>
      </c>
      <c r="J10" s="45" t="inlineStr">
        <is>
          <t>mm</t>
        </is>
      </c>
      <c r="K10" s="46" t="inlineStr">
        <is>
          <t xml:space="preserve"> =x̄ + t·SE_x</t>
        </is>
      </c>
    </row>
    <row r="11" ht="15" customHeight="1">
      <c r="A11" s="40" t="n">
        <v>9</v>
      </c>
      <c r="B11" s="40">
        <f>2100-94</f>
        <v/>
      </c>
      <c r="C11" s="40" t="n">
        <v>-1</v>
      </c>
      <c r="D11">
        <f>DEGREES(E11)</f>
        <v/>
      </c>
      <c r="E11" s="53">
        <f>ATAN(C11/B11)</f>
        <v/>
      </c>
      <c r="F11" s="44">
        <f>SQRT(B11^2+D11^2)</f>
        <v/>
      </c>
      <c r="H11" s="43" t="inlineStr">
        <is>
          <t>Bias  (x̄ − x_ideal)</t>
        </is>
      </c>
      <c r="I11" s="49">
        <f>I5-I4</f>
        <v/>
      </c>
      <c r="J11" s="45" t="inlineStr">
        <is>
          <t>mm</t>
        </is>
      </c>
      <c r="K11" s="46" t="inlineStr">
        <is>
          <t xml:space="preserve"> Systematic X error</t>
        </is>
      </c>
    </row>
    <row r="12" ht="15" customHeight="1">
      <c r="A12" s="40" t="n">
        <v>10</v>
      </c>
      <c r="B12" s="40">
        <f>2100-56</f>
        <v/>
      </c>
      <c r="C12" s="40" t="n">
        <v>-27</v>
      </c>
      <c r="D12">
        <f>DEGREES(E12)</f>
        <v/>
      </c>
      <c r="E12" s="53">
        <f>ATAN(C12/B12)</f>
        <v/>
      </c>
      <c r="F12" s="44">
        <f>SQRT(B12^2+D12^2)</f>
        <v/>
      </c>
      <c r="H12" s="11" t="n"/>
      <c r="I12" s="11" t="n"/>
      <c r="J12" s="11" t="n"/>
      <c r="K12" s="11" t="n"/>
    </row>
    <row r="13" ht="15" customHeight="1">
      <c r="A13" s="40" t="n">
        <v>11</v>
      </c>
      <c r="B13" s="40">
        <f>2100-103</f>
        <v/>
      </c>
      <c r="C13" s="40" t="n">
        <v>-23</v>
      </c>
      <c r="D13">
        <f>DEGREES(E13)</f>
        <v/>
      </c>
      <c r="E13" s="53">
        <f>ATAN(C13/B13)</f>
        <v/>
      </c>
      <c r="F13" s="44">
        <f>SQRT(B13^2+D13^2)</f>
        <v/>
      </c>
      <c r="H13" s="43" t="inlineStr">
        <is>
          <t>ȳ   (mean y)</t>
        </is>
      </c>
      <c r="I13" s="44">
        <f>AVERAGE(C3:C17)</f>
        <v/>
      </c>
      <c r="J13" s="45" t="inlineStr">
        <is>
          <t>mm</t>
        </is>
      </c>
      <c r="K13" s="46" t="inlineStr">
        <is>
          <t xml:space="preserve"> =AVERAGE(y₁…yₙ)</t>
        </is>
      </c>
    </row>
    <row r="14" ht="15" customHeight="1">
      <c r="A14" s="40" t="n">
        <v>12</v>
      </c>
      <c r="B14" s="40">
        <f>2100-9</f>
        <v/>
      </c>
      <c r="C14" s="40" t="n">
        <v>-20</v>
      </c>
      <c r="D14">
        <f>DEGREES(E14)</f>
        <v/>
      </c>
      <c r="E14" s="53">
        <f>ATAN(C14/B14)</f>
        <v/>
      </c>
      <c r="F14" s="44">
        <f>SQRT(B14^2+D14^2)</f>
        <v/>
      </c>
      <c r="H14" s="43" t="inlineStr">
        <is>
          <t>σy  (std dev y)</t>
        </is>
      </c>
      <c r="I14" s="44">
        <f>STDEV(C3:C17)</f>
        <v/>
      </c>
      <c r="J14" s="45" t="inlineStr">
        <is>
          <t>mm</t>
        </is>
      </c>
      <c r="K14" s="46" t="inlineStr">
        <is>
          <t xml:space="preserve"> =STDEV(y₁…yₙ)</t>
        </is>
      </c>
    </row>
    <row r="15" ht="15" customHeight="1">
      <c r="A15" s="40" t="n">
        <v>13</v>
      </c>
      <c r="B15" s="40">
        <f>2100-90</f>
        <v/>
      </c>
      <c r="C15" s="40" t="n">
        <v>-17</v>
      </c>
      <c r="D15">
        <f>DEGREES(E15)</f>
        <v/>
      </c>
      <c r="E15" s="53">
        <f>ATAN(C15/B15)</f>
        <v/>
      </c>
      <c r="F15" s="44">
        <f>SQRT(B15^2+D15^2)</f>
        <v/>
      </c>
      <c r="H15" s="43" t="inlineStr">
        <is>
          <t>SE_y</t>
        </is>
      </c>
      <c r="I15" s="48">
        <f>I14/SQRT(I3)</f>
        <v/>
      </c>
      <c r="J15" s="45" t="inlineStr">
        <is>
          <t>mm</t>
        </is>
      </c>
      <c r="K15" s="46" t="inlineStr">
        <is>
          <t xml:space="preserve"> =σy / √n</t>
        </is>
      </c>
    </row>
    <row r="16" ht="15" customHeight="1">
      <c r="A16" s="40" t="n">
        <v>14</v>
      </c>
      <c r="B16" s="40">
        <f>2100-31</f>
        <v/>
      </c>
      <c r="C16" s="40" t="n">
        <v>-17</v>
      </c>
      <c r="D16">
        <f>DEGREES(E16)</f>
        <v/>
      </c>
      <c r="E16" s="53">
        <f>ATAN(C16/B16)</f>
        <v/>
      </c>
      <c r="F16" s="44">
        <f>SQRT(B16^2+D16^2)</f>
        <v/>
      </c>
      <c r="H16" s="43" t="inlineStr">
        <is>
          <t>95% CI  lower y</t>
        </is>
      </c>
      <c r="I16" s="44">
        <f>I13-I8*I15</f>
        <v/>
      </c>
      <c r="J16" s="45" t="inlineStr">
        <is>
          <t>mm</t>
        </is>
      </c>
      <c r="K16" s="46" t="inlineStr">
        <is>
          <t xml:space="preserve"> =ȳ − t·SE_y</t>
        </is>
      </c>
    </row>
    <row r="17" ht="15" customHeight="1">
      <c r="A17" s="40" t="n">
        <v>15</v>
      </c>
      <c r="B17" s="40">
        <f>2100-67</f>
        <v/>
      </c>
      <c r="C17" s="40" t="n">
        <v>-13</v>
      </c>
      <c r="D17">
        <f>DEGREES(E17)</f>
        <v/>
      </c>
      <c r="E17" s="53">
        <f>ATAN(C17/B17)</f>
        <v/>
      </c>
      <c r="F17" s="44">
        <f>SQRT(B17^2+D17^2)</f>
        <v/>
      </c>
      <c r="H17" s="43" t="inlineStr">
        <is>
          <t>95% CI  upper y</t>
        </is>
      </c>
      <c r="I17" s="44">
        <f>I13+I8*I15</f>
        <v/>
      </c>
      <c r="J17" s="45" t="inlineStr">
        <is>
          <t>mm</t>
        </is>
      </c>
      <c r="K17" s="46" t="inlineStr">
        <is>
          <t xml:space="preserve"> =ȳ + t·SE_y</t>
        </is>
      </c>
    </row>
    <row r="18" ht="15" customHeight="1">
      <c r="A18" s="40" t="n"/>
      <c r="B18" s="40" t="n"/>
      <c r="C18" s="40" t="n"/>
      <c r="D18" s="41" t="n"/>
      <c r="E18" s="41" t="n"/>
      <c r="F18" s="42" t="n"/>
      <c r="H18" s="11" t="n"/>
      <c r="I18" s="11" t="n"/>
      <c r="J18" s="11" t="n"/>
      <c r="K18" s="11" t="n"/>
    </row>
    <row r="19" ht="15" customHeight="1">
      <c r="A19" s="40" t="n"/>
      <c r="B19" s="40" t="n"/>
      <c r="C19" s="40" t="n"/>
      <c r="D19" s="41" t="n"/>
      <c r="E19" s="41" t="n"/>
      <c r="F19" s="42" t="n"/>
      <c r="H19" s="43" t="inlineStr">
        <is>
          <t>r̄   (mean radial error)</t>
        </is>
      </c>
      <c r="I19" s="44">
        <f>AVERAGE(F3:F17)</f>
        <v/>
      </c>
      <c r="J19" s="45" t="inlineStr">
        <is>
          <t>mm</t>
        </is>
      </c>
      <c r="K19" s="46" t="inlineStr">
        <is>
          <t xml:space="preserve"> =AVERAGE(r₁…rₙ)</t>
        </is>
      </c>
    </row>
    <row r="20" ht="15" customHeight="1">
      <c r="A20" s="40" t="n"/>
      <c r="B20" s="40" t="n"/>
      <c r="C20" s="40" t="n"/>
      <c r="D20" s="41" t="n"/>
      <c r="E20" s="41" t="n"/>
      <c r="F20" s="42" t="n"/>
      <c r="H20" s="43" t="inlineStr">
        <is>
          <t>σr  (std dev radial)</t>
        </is>
      </c>
      <c r="I20" s="44">
        <f>STDEV(F3:F17)</f>
        <v/>
      </c>
      <c r="J20" s="45" t="inlineStr">
        <is>
          <t>mm</t>
        </is>
      </c>
      <c r="K20" s="46" t="inlineStr">
        <is>
          <t xml:space="preserve"> =STDEV(r₁…rₙ)</t>
        </is>
      </c>
    </row>
    <row r="21" ht="15" customHeight="1">
      <c r="A21" s="40" t="n"/>
      <c r="B21" s="40" t="n"/>
      <c r="C21" s="40" t="n"/>
      <c r="D21" s="41" t="n"/>
      <c r="E21" s="41" t="n"/>
      <c r="F21" s="42" t="n"/>
      <c r="H21" s="43" t="inlineStr">
        <is>
          <t>r̄ + 2σr  (95% predict.)</t>
        </is>
      </c>
      <c r="I21" s="49">
        <f>I19+2*I20</f>
        <v/>
      </c>
      <c r="J21" s="45" t="inlineStr">
        <is>
          <t>mm</t>
        </is>
      </c>
      <c r="K21" s="46" t="inlineStr">
        <is>
          <t xml:space="preserve"> 95% prediction interval</t>
        </is>
      </c>
    </row>
    <row r="22">
      <c r="A22" s="40" t="n"/>
      <c r="B22" s="40" t="n"/>
      <c r="C22" s="40" t="n"/>
      <c r="D22" s="41" t="n"/>
      <c r="E22" s="41" t="n"/>
      <c r="F22" s="42" t="n"/>
      <c r="I22" s="38">
        <f>I21-I19</f>
        <v/>
      </c>
    </row>
    <row r="23">
      <c r="A23" s="40" t="n"/>
      <c r="B23" s="40" t="n"/>
      <c r="C23" s="40" t="n"/>
      <c r="D23" s="41" t="n"/>
      <c r="E23" s="41" t="n"/>
      <c r="F23" s="42" t="n"/>
      <c r="H23" s="52" t="inlineStr">
        <is>
          <t>mean θ (deg)</t>
        </is>
      </c>
      <c r="I23">
        <f>AVERAGE(D3:D17)</f>
        <v/>
      </c>
      <c r="J23" s="56" t="inlineStr">
        <is>
          <t>deg</t>
        </is>
      </c>
    </row>
    <row r="24">
      <c r="H24" s="52" t="inlineStr">
        <is>
          <t>σθ (deg)</t>
        </is>
      </c>
      <c r="I24">
        <f>_xlfn.STDEV.S(D3:D17)</f>
        <v/>
      </c>
      <c r="J24" s="56" t="inlineStr">
        <is>
          <t>deg</t>
        </is>
      </c>
    </row>
    <row r="25">
      <c r="A25" s="50" t="inlineStr">
        <is>
          <t>x_ideal →</t>
        </is>
      </c>
      <c r="B25" s="51" t="n">
        <v>2486</v>
      </c>
      <c r="C25" t="inlineStr">
        <is>
          <t>x_real</t>
        </is>
      </c>
      <c r="D25" t="inlineStr">
        <is>
          <t>x̄_real   (mean x_real)</t>
        </is>
      </c>
      <c r="H25" s="52" t="inlineStr">
        <is>
          <t>mean θ (rad)</t>
        </is>
      </c>
      <c r="I25" s="55">
        <f>AVERAGE(E3:E17)</f>
        <v/>
      </c>
      <c r="J25" s="56" t="inlineStr">
        <is>
          <t>rad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σθ (rad)</t>
        </is>
      </c>
      <c r="I26">
        <f>_xlfn.STDEV.S(E3:E17)</f>
        <v/>
      </c>
      <c r="J26" s="56" t="inlineStr">
        <is>
          <t>rad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</row>
    <row r="28">
      <c r="B28" t="n">
        <v>3</v>
      </c>
      <c r="C28" s="37">
        <f>$B5+102</f>
        <v/>
      </c>
      <c r="D28">
        <f>_xlfn.STDEV.S(C26:C40)</f>
        <v/>
      </c>
    </row>
    <row r="29">
      <c r="B29" t="n">
        <v>4</v>
      </c>
      <c r="C29" s="37">
        <f>$B6+102</f>
        <v/>
      </c>
    </row>
    <row r="30">
      <c r="B30" t="n">
        <v>5</v>
      </c>
      <c r="C30" s="37">
        <f>$B7+102</f>
        <v/>
      </c>
    </row>
    <row r="31">
      <c r="B31" t="n">
        <v>6</v>
      </c>
      <c r="C31" s="37">
        <f>$B8+102</f>
        <v/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81" zoomScaleNormal="100" workbookViewId="0">
      <selection activeCell="B2" sqref="B2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4.6640625" customWidth="1" min="5" max="5"/>
    <col width="18" customWidth="1" min="6" max="6"/>
    <col width="3" customWidth="1" min="7" max="7"/>
    <col width="28" customWidth="1" min="8" max="8"/>
    <col width="20.44140625" customWidth="1" min="9" max="9"/>
    <col width="7.88671875" customWidth="1" min="10" max="10"/>
    <col width="30" customWidth="1" min="11" max="11"/>
  </cols>
  <sheetData>
    <row r="1" ht="31.5" customHeight="1">
      <c r="A1" s="62" t="inlineStr">
        <is>
          <t>Experiment 3 — Raw Data   |   Draw Length  L = 125 mm   |   n = 20  shots</t>
        </is>
      </c>
    </row>
    <row r="2" ht="42" customHeight="1">
      <c r="A2" s="1" t="inlineStr">
        <is>
          <t>Shot #</t>
        </is>
      </c>
      <c r="B2" s="1" t="inlineStr">
        <is>
          <t>x (mm)</t>
        </is>
      </c>
      <c r="C2" s="1" t="inlineStr">
        <is>
          <t>y (mm)</t>
        </is>
      </c>
      <c r="D2" s="1" t="inlineStr">
        <is>
          <t>theta(deg)</t>
        </is>
      </c>
      <c r="E2" s="1" t="inlineStr">
        <is>
          <t>theta(rad)</t>
        </is>
      </c>
      <c r="F2" s="1" t="inlineStr">
        <is>
          <t>Radial r (mm)</t>
        </is>
      </c>
      <c r="H2" s="1" t="inlineStr">
        <is>
          <t>Parameter</t>
        </is>
      </c>
      <c r="I2" s="1" t="inlineStr">
        <is>
          <t>Value</t>
        </is>
      </c>
      <c r="J2" s="1" t="inlineStr">
        <is>
          <t>Unit</t>
        </is>
      </c>
      <c r="K2" s="1" t="inlineStr">
        <is>
          <t>Description</t>
        </is>
      </c>
    </row>
    <row r="3" ht="15" customHeight="1">
      <c r="A3" s="2" t="n">
        <v>1</v>
      </c>
      <c r="B3" s="2">
        <f>2000+141</f>
        <v/>
      </c>
      <c r="C3" s="2" t="n">
        <v>22</v>
      </c>
      <c r="D3">
        <f>DEGREES(E3)</f>
        <v/>
      </c>
      <c r="E3" s="53">
        <f>ATAN(C3/B3)</f>
        <v/>
      </c>
      <c r="F3" s="6">
        <f>SQRT(B3^2+C3^2)</f>
        <v/>
      </c>
      <c r="H3" s="5" t="inlineStr">
        <is>
          <t>n  (samples)</t>
        </is>
      </c>
      <c r="I3" s="6">
        <f>COUNTA(B3:B22)</f>
        <v/>
      </c>
      <c r="J3" s="7" t="inlineStr">
        <is>
          <t>—</t>
        </is>
      </c>
      <c r="K3" s="8" t="inlineStr">
        <is>
          <t xml:space="preserve"> Shot count</t>
        </is>
      </c>
    </row>
    <row r="4" ht="15" customHeight="1">
      <c r="A4" s="2" t="n">
        <v>2</v>
      </c>
      <c r="B4" s="2">
        <f>2000+100</f>
        <v/>
      </c>
      <c r="C4" s="2" t="n">
        <v>-8</v>
      </c>
      <c r="D4">
        <f>DEGREES(E4)</f>
        <v/>
      </c>
      <c r="E4" s="53">
        <f>ATAN(C4/B4)</f>
        <v/>
      </c>
      <c r="F4" s="44">
        <f>SQRT(B4^2+C4^2)</f>
        <v/>
      </c>
      <c r="H4" s="5" t="inlineStr">
        <is>
          <t>x_ideal  (theoretical)</t>
        </is>
      </c>
      <c r="I4" s="6" t="n">
        <v>2486</v>
      </c>
      <c r="J4" s="7" t="inlineStr">
        <is>
          <t>mm</t>
        </is>
      </c>
      <c r="K4" s="8" t="inlineStr">
        <is>
          <t xml:space="preserve"> From calcSx model</t>
        </is>
      </c>
    </row>
    <row r="5" ht="15" customHeight="1">
      <c r="A5" s="2" t="n">
        <v>3</v>
      </c>
      <c r="B5" s="2">
        <f>2000+108</f>
        <v/>
      </c>
      <c r="C5" s="2" t="n">
        <v>22</v>
      </c>
      <c r="D5">
        <f>DEGREES(E5)</f>
        <v/>
      </c>
      <c r="E5" s="53">
        <f>ATAN(C5/B5)</f>
        <v/>
      </c>
      <c r="F5" s="44">
        <f>SQRT(B5^2+C5^2)</f>
        <v/>
      </c>
      <c r="H5" s="5" t="inlineStr">
        <is>
          <t>x̄   (mean x)</t>
        </is>
      </c>
      <c r="I5" s="14">
        <f>AVERAGE(B3:B22)</f>
        <v/>
      </c>
      <c r="J5" s="7" t="inlineStr">
        <is>
          <t>mm</t>
        </is>
      </c>
      <c r="K5" s="8" t="inlineStr">
        <is>
          <t xml:space="preserve"> =AVERAGE(x₁…xₙ)</t>
        </is>
      </c>
    </row>
    <row r="6" ht="15" customHeight="1">
      <c r="A6" s="2" t="n">
        <v>4</v>
      </c>
      <c r="B6" s="2">
        <f>2000+109</f>
        <v/>
      </c>
      <c r="C6" s="2" t="n">
        <v>-25</v>
      </c>
      <c r="D6">
        <f>DEGREES(E6)</f>
        <v/>
      </c>
      <c r="E6" s="53">
        <f>ATAN(C6/B6)</f>
        <v/>
      </c>
      <c r="F6" s="44">
        <f>SQRT(B6^2+C6^2)</f>
        <v/>
      </c>
      <c r="H6" s="5" t="inlineStr">
        <is>
          <t>σx  (std dev x)</t>
        </is>
      </c>
      <c r="I6" s="6">
        <f>_xlfn.STDEV.S(B3:B22)</f>
        <v/>
      </c>
      <c r="J6" s="7" t="inlineStr">
        <is>
          <t>mm</t>
        </is>
      </c>
      <c r="K6" s="8" t="inlineStr">
        <is>
          <t xml:space="preserve"> =STDEV(x₁…xₙ)</t>
        </is>
      </c>
    </row>
    <row r="7" ht="15" customHeight="1">
      <c r="A7" s="2" t="n">
        <v>5</v>
      </c>
      <c r="B7" s="2">
        <f>2000+90</f>
        <v/>
      </c>
      <c r="C7" s="2" t="n">
        <v>-28</v>
      </c>
      <c r="D7">
        <f>DEGREES(E7)</f>
        <v/>
      </c>
      <c r="E7" s="53">
        <f>ATAN(C7/B7)</f>
        <v/>
      </c>
      <c r="F7" s="44">
        <f>SQRT(B7^2+C7^2)</f>
        <v/>
      </c>
      <c r="H7" s="5" t="inlineStr">
        <is>
          <t>SE_x</t>
        </is>
      </c>
      <c r="I7" s="9">
        <f>I6/SQRT(I3)</f>
        <v/>
      </c>
      <c r="J7" s="7" t="inlineStr">
        <is>
          <t>mm</t>
        </is>
      </c>
      <c r="K7" s="8" t="inlineStr">
        <is>
          <t xml:space="preserve"> =σx / √n   ← fixed</t>
        </is>
      </c>
    </row>
    <row r="8" ht="15" customHeight="1">
      <c r="A8" s="2" t="n">
        <v>6</v>
      </c>
      <c r="B8" s="2">
        <f>2000+112</f>
        <v/>
      </c>
      <c r="C8" s="2" t="n">
        <v>24</v>
      </c>
      <c r="D8">
        <f>DEGREES(E8)</f>
        <v/>
      </c>
      <c r="E8" s="53">
        <f>ATAN(C8/B8)</f>
        <v/>
      </c>
      <c r="F8" s="44">
        <f>SQRT(B8^2+C8^2)</f>
        <v/>
      </c>
      <c r="H8" s="5" t="inlineStr">
        <is>
          <t>t  (95%, df=14)</t>
        </is>
      </c>
      <c r="I8" s="6" t="n">
        <v>2.1448</v>
      </c>
      <c r="J8" s="7" t="inlineStr">
        <is>
          <t>—</t>
        </is>
      </c>
      <c r="K8" s="8" t="inlineStr">
        <is>
          <t xml:space="preserve"> t₀.₀₂₅,₁₄</t>
        </is>
      </c>
    </row>
    <row r="9" ht="15" customHeight="1">
      <c r="A9" s="2" t="n">
        <v>7</v>
      </c>
      <c r="B9" s="2">
        <f>2000+91</f>
        <v/>
      </c>
      <c r="C9" s="2" t="n">
        <v>-3</v>
      </c>
      <c r="D9">
        <f>DEGREES(E9)</f>
        <v/>
      </c>
      <c r="E9" s="53">
        <f>ATAN(C9/B9)</f>
        <v/>
      </c>
      <c r="F9" s="44">
        <f>SQRT(B9^2+C9^2)</f>
        <v/>
      </c>
      <c r="H9" s="5" t="inlineStr">
        <is>
          <t>95% CI  lower x</t>
        </is>
      </c>
      <c r="I9" s="6">
        <f>I5-I8*I7</f>
        <v/>
      </c>
      <c r="J9" s="7" t="inlineStr">
        <is>
          <t>mm</t>
        </is>
      </c>
      <c r="K9" s="8" t="inlineStr">
        <is>
          <t xml:space="preserve"> =x̄ − t·SE_x</t>
        </is>
      </c>
    </row>
    <row r="10" ht="15" customHeight="1">
      <c r="A10" s="2" t="n">
        <v>8</v>
      </c>
      <c r="B10" s="2">
        <f>2000+82</f>
        <v/>
      </c>
      <c r="C10" s="2" t="n">
        <v>0</v>
      </c>
      <c r="D10">
        <f>DEGREES(E10)</f>
        <v/>
      </c>
      <c r="E10" s="53">
        <f>ATAN(C10/B10)</f>
        <v/>
      </c>
      <c r="F10" s="44">
        <f>SQRT(B10^2+C10^2)</f>
        <v/>
      </c>
      <c r="H10" s="5" t="inlineStr">
        <is>
          <t>95% CI  upper x</t>
        </is>
      </c>
      <c r="I10" s="6">
        <f>I5+I8*I7</f>
        <v/>
      </c>
      <c r="J10" s="7" t="inlineStr">
        <is>
          <t>mm</t>
        </is>
      </c>
      <c r="K10" s="8" t="inlineStr">
        <is>
          <t xml:space="preserve"> =x̄ + t·SE_x</t>
        </is>
      </c>
    </row>
    <row r="11" ht="15" customHeight="1">
      <c r="A11" s="2" t="n">
        <v>9</v>
      </c>
      <c r="B11" s="2">
        <f>2000+50</f>
        <v/>
      </c>
      <c r="C11" s="2" t="n">
        <v>-3</v>
      </c>
      <c r="D11">
        <f>DEGREES(E11)</f>
        <v/>
      </c>
      <c r="E11" s="53">
        <f>ATAN(C11/B11)</f>
        <v/>
      </c>
      <c r="F11" s="44">
        <f>SQRT(B11^2+C11^2)</f>
        <v/>
      </c>
      <c r="H11" s="5" t="inlineStr">
        <is>
          <t>range x</t>
        </is>
      </c>
      <c r="I11" s="10">
        <f>MAX(B3:B22)-MIN(B3:B22)</f>
        <v/>
      </c>
      <c r="J11" s="7" t="inlineStr">
        <is>
          <t>mm</t>
        </is>
      </c>
      <c r="K11" s="8" t="inlineStr">
        <is>
          <t xml:space="preserve"> max-min</t>
        </is>
      </c>
    </row>
    <row r="12" ht="15" customHeight="1">
      <c r="A12" s="2" t="n">
        <v>10</v>
      </c>
      <c r="B12" s="2">
        <f>2000+55</f>
        <v/>
      </c>
      <c r="C12" s="2" t="n">
        <v>-19</v>
      </c>
      <c r="D12">
        <f>DEGREES(E12)</f>
        <v/>
      </c>
      <c r="E12" s="53">
        <f>ATAN(C12/B12)</f>
        <v/>
      </c>
      <c r="F12" s="44">
        <f>SQRT(B12^2+C12^2)</f>
        <v/>
      </c>
      <c r="H12" s="11" t="n"/>
      <c r="I12" s="11" t="n"/>
      <c r="J12" s="11" t="n"/>
      <c r="K12" s="11" t="n"/>
    </row>
    <row r="13" ht="15" customHeight="1">
      <c r="A13" s="2" t="n">
        <v>11</v>
      </c>
      <c r="B13" s="2">
        <f>2000+137</f>
        <v/>
      </c>
      <c r="C13" s="2" t="n">
        <v>19</v>
      </c>
      <c r="D13">
        <f>DEGREES(E13)</f>
        <v/>
      </c>
      <c r="E13" s="53">
        <f>ATAN(C13/B13)</f>
        <v/>
      </c>
      <c r="F13" s="44">
        <f>SQRT(B13^2+C13^2)</f>
        <v/>
      </c>
      <c r="H13" s="5" t="inlineStr">
        <is>
          <t>ȳ   (mean y)</t>
        </is>
      </c>
      <c r="I13" s="6">
        <f>AVERAGE(C3:C22)</f>
        <v/>
      </c>
      <c r="J13" s="7" t="inlineStr">
        <is>
          <t>mm</t>
        </is>
      </c>
      <c r="K13" s="8" t="inlineStr">
        <is>
          <t xml:space="preserve"> =AVERAGE(y₁…yₙ)</t>
        </is>
      </c>
    </row>
    <row r="14" ht="15" customHeight="1">
      <c r="A14" s="2" t="n">
        <v>12</v>
      </c>
      <c r="B14" s="2">
        <f>2000+99</f>
        <v/>
      </c>
      <c r="C14" s="2" t="n">
        <v>-12</v>
      </c>
      <c r="D14">
        <f>DEGREES(E14)</f>
        <v/>
      </c>
      <c r="E14" s="53">
        <f>ATAN(C14/B14)</f>
        <v/>
      </c>
      <c r="F14" s="44">
        <f>SQRT(B14^2+C14^2)</f>
        <v/>
      </c>
      <c r="H14" s="5" t="inlineStr">
        <is>
          <t>σy  (std dev y)</t>
        </is>
      </c>
      <c r="I14" s="6">
        <f>_xlfn.STDEV.S(C3:C22)</f>
        <v/>
      </c>
      <c r="J14" s="7" t="inlineStr">
        <is>
          <t>mm</t>
        </is>
      </c>
      <c r="K14" s="8" t="inlineStr">
        <is>
          <t xml:space="preserve"> =STDEV(y₁…yₙ)</t>
        </is>
      </c>
    </row>
    <row r="15" ht="15" customHeight="1">
      <c r="A15" s="2" t="n">
        <v>13</v>
      </c>
      <c r="B15" s="2">
        <f>2000+72</f>
        <v/>
      </c>
      <c r="C15" s="2" t="n">
        <v>4</v>
      </c>
      <c r="D15">
        <f>DEGREES(E15)</f>
        <v/>
      </c>
      <c r="E15" s="53">
        <f>ATAN(C15/B15)</f>
        <v/>
      </c>
      <c r="F15" s="44">
        <f>SQRT(B15^2+C15^2)</f>
        <v/>
      </c>
      <c r="H15" s="5" t="inlineStr">
        <is>
          <t>SE_y</t>
        </is>
      </c>
      <c r="I15" s="9">
        <f>I14/SQRT(I3)</f>
        <v/>
      </c>
      <c r="J15" s="7" t="inlineStr">
        <is>
          <t>mm</t>
        </is>
      </c>
      <c r="K15" s="8" t="inlineStr">
        <is>
          <t xml:space="preserve"> =σy / √n</t>
        </is>
      </c>
    </row>
    <row r="16" ht="15" customHeight="1">
      <c r="A16" s="2" t="n">
        <v>14</v>
      </c>
      <c r="B16" s="2">
        <f>2000+94</f>
        <v/>
      </c>
      <c r="C16" s="2" t="n">
        <v>-30</v>
      </c>
      <c r="D16">
        <f>DEGREES(E16)</f>
        <v/>
      </c>
      <c r="E16" s="53">
        <f>ATAN(C16/B16)</f>
        <v/>
      </c>
      <c r="F16" s="44">
        <f>SQRT(B16^2+C16^2)</f>
        <v/>
      </c>
      <c r="H16" s="5" t="inlineStr">
        <is>
          <t>95% CI  lower y</t>
        </is>
      </c>
      <c r="I16" s="6">
        <f>I13-I8*I15</f>
        <v/>
      </c>
      <c r="J16" s="7" t="inlineStr">
        <is>
          <t>mm</t>
        </is>
      </c>
      <c r="K16" s="8" t="inlineStr">
        <is>
          <t xml:space="preserve"> =ȳ − t·SE_y</t>
        </is>
      </c>
    </row>
    <row r="17" ht="15" customHeight="1">
      <c r="A17" s="2" t="n">
        <v>15</v>
      </c>
      <c r="B17" s="2">
        <f>2000+114</f>
        <v/>
      </c>
      <c r="C17" s="2" t="n">
        <v>2</v>
      </c>
      <c r="D17">
        <f>DEGREES(E17)</f>
        <v/>
      </c>
      <c r="E17" s="53">
        <f>ATAN(C17/B17)</f>
        <v/>
      </c>
      <c r="F17" s="44">
        <f>SQRT(B17^2+C17^2)</f>
        <v/>
      </c>
      <c r="H17" s="5" t="inlineStr">
        <is>
          <t>95% CI  upper y</t>
        </is>
      </c>
      <c r="I17" s="6">
        <f>I13+I8*I15</f>
        <v/>
      </c>
      <c r="J17" s="7" t="inlineStr">
        <is>
          <t>mm</t>
        </is>
      </c>
      <c r="K17" s="8" t="inlineStr">
        <is>
          <t xml:space="preserve"> =ȳ + t·SE_y</t>
        </is>
      </c>
    </row>
    <row r="18" ht="15" customHeight="1">
      <c r="A18" s="2" t="n">
        <v>16</v>
      </c>
      <c r="B18" s="2">
        <f>2000+74</f>
        <v/>
      </c>
      <c r="C18" s="2" t="n">
        <v>11</v>
      </c>
      <c r="D18">
        <f>DEGREES(E18)</f>
        <v/>
      </c>
      <c r="E18" s="53">
        <f>ATAN(C18/B18)</f>
        <v/>
      </c>
      <c r="F18" s="6">
        <f>SQRT(B18^2+C18^2)</f>
        <v/>
      </c>
      <c r="H18" s="58" t="inlineStr">
        <is>
          <t>range y</t>
        </is>
      </c>
      <c r="I18" s="59">
        <f>MAX(C3:C22)-MIN(C3:C22)</f>
        <v/>
      </c>
      <c r="J18" s="7" t="inlineStr">
        <is>
          <t>mm</t>
        </is>
      </c>
      <c r="K18" s="8" t="inlineStr">
        <is>
          <t xml:space="preserve"> max-min</t>
        </is>
      </c>
    </row>
    <row r="19" ht="15" customHeight="1">
      <c r="A19" s="2" t="n">
        <v>17</v>
      </c>
      <c r="B19" s="2">
        <f>2000+105</f>
        <v/>
      </c>
      <c r="C19" s="2" t="n">
        <v>16</v>
      </c>
      <c r="D19">
        <f>DEGREES(E19)</f>
        <v/>
      </c>
      <c r="E19" s="53">
        <f>ATAN(C19/B19)</f>
        <v/>
      </c>
      <c r="F19" s="44">
        <f>SQRT(B19^2+C19^2)</f>
        <v/>
      </c>
    </row>
    <row r="20" ht="15" customHeight="1">
      <c r="A20" s="2" t="n">
        <v>18</v>
      </c>
      <c r="B20" s="2">
        <f>2000+99</f>
        <v/>
      </c>
      <c r="C20" s="2" t="n">
        <v>8</v>
      </c>
      <c r="D20">
        <f>DEGREES(E20)</f>
        <v/>
      </c>
      <c r="E20" s="53">
        <f>ATAN(C20/B20)</f>
        <v/>
      </c>
      <c r="F20" s="44">
        <f>SQRT(B20^2+C20^2)</f>
        <v/>
      </c>
      <c r="H20" s="5" t="inlineStr">
        <is>
          <t>r̄   (mean radial error)</t>
        </is>
      </c>
      <c r="I20" s="6">
        <f>AVERAGE(F3:F22)</f>
        <v/>
      </c>
      <c r="J20" s="7" t="inlineStr">
        <is>
          <t>mm</t>
        </is>
      </c>
      <c r="K20" s="8" t="inlineStr">
        <is>
          <t xml:space="preserve"> =AVERAGE(r₁…rₙ)</t>
        </is>
      </c>
    </row>
    <row r="21" ht="15" customHeight="1">
      <c r="A21" s="2" t="n">
        <v>19</v>
      </c>
      <c r="B21" s="2">
        <f>2000+59</f>
        <v/>
      </c>
      <c r="C21" s="2" t="n">
        <v>-8</v>
      </c>
      <c r="D21">
        <f>DEGREES(E21)</f>
        <v/>
      </c>
      <c r="E21" s="53">
        <f>ATAN(C21/B21)</f>
        <v/>
      </c>
      <c r="F21" s="44">
        <f>SQRT(B21^2+C21^2)</f>
        <v/>
      </c>
      <c r="H21" s="5" t="inlineStr">
        <is>
          <t>σr  (std dev radial)</t>
        </is>
      </c>
      <c r="I21" s="6">
        <f>STDEV(F3:F22)</f>
        <v/>
      </c>
      <c r="J21" s="7" t="inlineStr">
        <is>
          <t>mm</t>
        </is>
      </c>
      <c r="K21" s="8" t="inlineStr">
        <is>
          <t xml:space="preserve"> =STDEV(r₁…rₙ)</t>
        </is>
      </c>
    </row>
    <row r="22">
      <c r="A22" s="2" t="n">
        <v>20</v>
      </c>
      <c r="B22" s="2">
        <f>2000+95</f>
        <v/>
      </c>
      <c r="C22" s="2" t="n">
        <v>-42</v>
      </c>
      <c r="D22">
        <f>DEGREES(E22)</f>
        <v/>
      </c>
      <c r="E22" s="53">
        <f>ATAN(C22/B22)</f>
        <v/>
      </c>
      <c r="F22" s="44">
        <f>SQRT(B22^2+C22^2)</f>
        <v/>
      </c>
      <c r="H22" s="5" t="inlineStr">
        <is>
          <t>r̄ + 2σr  (95% predict.)</t>
        </is>
      </c>
      <c r="I22" s="10">
        <f>I20+2*I21</f>
        <v/>
      </c>
      <c r="J22" s="7" t="inlineStr">
        <is>
          <t>mm</t>
        </is>
      </c>
      <c r="K22" s="8" t="inlineStr">
        <is>
          <t xml:space="preserve"> 95% prediction interval</t>
        </is>
      </c>
    </row>
    <row r="23">
      <c r="A23" s="2" t="n"/>
      <c r="B23" s="2" t="n"/>
      <c r="C23" s="2" t="n"/>
      <c r="D23" s="3" t="n"/>
      <c r="E23" s="3" t="n"/>
      <c r="F23" s="4" t="n"/>
      <c r="H23" s="5" t="inlineStr">
        <is>
          <t>2σr</t>
        </is>
      </c>
      <c r="I23" s="60">
        <f>I22-I20</f>
        <v/>
      </c>
      <c r="J23" s="54" t="inlineStr">
        <is>
          <t>mm</t>
        </is>
      </c>
    </row>
    <row r="24">
      <c r="H24" s="58" t="inlineStr">
        <is>
          <t>range r</t>
        </is>
      </c>
      <c r="I24" s="61">
        <f>MAX(F3:F22)-MIN(F3:F22)</f>
        <v/>
      </c>
      <c r="J24" s="7" t="inlineStr">
        <is>
          <t>mm</t>
        </is>
      </c>
      <c r="K24" s="8" t="inlineStr">
        <is>
          <t xml:space="preserve"> max-min</t>
        </is>
      </c>
    </row>
    <row r="25">
      <c r="A25" s="12" t="inlineStr">
        <is>
          <t>x_ideal →</t>
        </is>
      </c>
      <c r="B25" s="13" t="n">
        <v>2486</v>
      </c>
      <c r="C25" t="inlineStr">
        <is>
          <t>x_real</t>
        </is>
      </c>
      <c r="D25" t="inlineStr">
        <is>
          <t>x̄_real   (mean x_real)</t>
        </is>
      </c>
    </row>
    <row r="26">
      <c r="B26" t="n">
        <v>1</v>
      </c>
      <c r="C26" s="37">
        <f>$B3+102</f>
        <v/>
      </c>
      <c r="D26" s="38">
        <f>AVERAGE(C26:C45)</f>
        <v/>
      </c>
      <c r="H26" s="52" t="inlineStr">
        <is>
          <t>mean θ (deg)</t>
        </is>
      </c>
      <c r="I26">
        <f>AVERAGE(D3:D22)</f>
        <v/>
      </c>
      <c r="J26" s="56" t="inlineStr">
        <is>
          <t>deg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2" t="inlineStr">
        <is>
          <t>σθ (deg)</t>
        </is>
      </c>
      <c r="I27">
        <f>_xlfn.STDEV.S(D3:D22)</f>
        <v/>
      </c>
      <c r="J27" s="56" t="inlineStr">
        <is>
          <t>deg</t>
        </is>
      </c>
    </row>
    <row r="28">
      <c r="B28" t="n">
        <v>3</v>
      </c>
      <c r="C28" s="37">
        <f>$B5+102</f>
        <v/>
      </c>
      <c r="D28">
        <f>_xlfn.STDEV.S(C26:C45)</f>
        <v/>
      </c>
      <c r="H28" s="52" t="inlineStr">
        <is>
          <t>mean θ (rad)</t>
        </is>
      </c>
      <c r="I28" s="55">
        <f>AVERAGE(E3:E22)</f>
        <v/>
      </c>
      <c r="J28" s="56" t="inlineStr">
        <is>
          <t>rad</t>
        </is>
      </c>
    </row>
    <row r="29">
      <c r="B29" t="n">
        <v>4</v>
      </c>
      <c r="C29" s="37">
        <f>$B6+102</f>
        <v/>
      </c>
      <c r="H29" s="52" t="inlineStr">
        <is>
          <t>σθ (rad)</t>
        </is>
      </c>
      <c r="I29">
        <f>_xlfn.STDEV.S(E3:E22)</f>
        <v/>
      </c>
      <c r="J29" s="56" t="inlineStr">
        <is>
          <t>rad</t>
        </is>
      </c>
    </row>
    <row r="30">
      <c r="B30" t="n">
        <v>5</v>
      </c>
      <c r="C30" s="37">
        <f>$B7+102</f>
        <v/>
      </c>
      <c r="H30" s="58" t="inlineStr">
        <is>
          <t xml:space="preserve">range θ </t>
        </is>
      </c>
      <c r="I30" s="61">
        <f>MAX(D3:D22)-MIN(D3:D22)</f>
        <v/>
      </c>
      <c r="J30" s="7" t="inlineStr">
        <is>
          <t>deg</t>
        </is>
      </c>
    </row>
    <row r="31">
      <c r="B31" t="n">
        <v>6</v>
      </c>
      <c r="C31" s="37">
        <f>$B8+102</f>
        <v/>
      </c>
      <c r="H31" s="58" t="inlineStr">
        <is>
          <t xml:space="preserve">range θ </t>
        </is>
      </c>
      <c r="I31" s="61">
        <f>MAX(E3:E22)-MIN(E3:E22)</f>
        <v/>
      </c>
      <c r="J31" s="7" t="inlineStr">
        <is>
          <t>rad</t>
        </is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B41" t="n">
        <v>16</v>
      </c>
      <c r="C41" s="37">
        <f>$B18+102</f>
        <v/>
      </c>
    </row>
    <row r="42">
      <c r="B42" t="n">
        <v>17</v>
      </c>
      <c r="C42" s="37">
        <f>$B19+102</f>
        <v/>
      </c>
    </row>
    <row r="43">
      <c r="B43" t="n">
        <v>18</v>
      </c>
      <c r="C43" s="37">
        <f>$B20+102</f>
        <v/>
      </c>
    </row>
    <row r="44">
      <c r="B44" t="n">
        <v>19</v>
      </c>
      <c r="C44" s="37">
        <f>$B21+102</f>
        <v/>
      </c>
    </row>
    <row r="45">
      <c r="B45" t="n">
        <v>20</v>
      </c>
      <c r="C45" s="37">
        <f>$B22+102</f>
        <v/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5"/>
  <sheetViews>
    <sheetView zoomScale="81" zoomScaleNormal="100" workbookViewId="0">
      <selection activeCell="A2" sqref="A2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2.5546875" customWidth="1" min="5" max="5"/>
    <col width="18" customWidth="1" min="6" max="6"/>
    <col width="3" customWidth="1" min="7" max="7"/>
    <col width="28" customWidth="1" min="8" max="8"/>
    <col width="19.77734375" customWidth="1" min="9" max="9"/>
    <col width="7.88671875" customWidth="1" min="10" max="10"/>
    <col width="30" customWidth="1" min="11" max="11"/>
    <col width="20.5546875" bestFit="1" customWidth="1" min="12" max="12"/>
  </cols>
  <sheetData>
    <row r="1" ht="31.5" customHeight="1">
      <c r="A1" s="62" t="inlineStr">
        <is>
          <t>Experiment 3 — Raw Data   |   Draw Length  L = 130 mm   |   n = 15  shots</t>
        </is>
      </c>
    </row>
    <row r="2" ht="42" customHeight="1">
      <c r="A2" s="39" t="inlineStr">
        <is>
          <t>Shot #</t>
        </is>
      </c>
      <c r="B2" s="39" t="inlineStr">
        <is>
          <t>x (mm)</t>
        </is>
      </c>
      <c r="C2" s="39" t="inlineStr">
        <is>
          <t>y (mm)</t>
        </is>
      </c>
      <c r="D2" s="39" t="inlineStr">
        <is>
          <t>theta(deg)</t>
        </is>
      </c>
      <c r="E2" s="39" t="inlineStr">
        <is>
          <t>theta(rad)</t>
        </is>
      </c>
      <c r="F2" s="39" t="inlineStr">
        <is>
          <t>Radial r (mm)</t>
        </is>
      </c>
      <c r="H2" s="39" t="inlineStr">
        <is>
          <t>Parameter</t>
        </is>
      </c>
      <c r="I2" s="39" t="inlineStr">
        <is>
          <t>Value</t>
        </is>
      </c>
      <c r="J2" s="39" t="inlineStr">
        <is>
          <t>Unit</t>
        </is>
      </c>
      <c r="K2" s="39" t="inlineStr">
        <is>
          <t>Description</t>
        </is>
      </c>
    </row>
    <row r="3" ht="15" customHeight="1">
      <c r="A3" s="40" t="n">
        <v>1</v>
      </c>
      <c r="B3" s="40">
        <f>2100+125</f>
        <v/>
      </c>
      <c r="C3" s="40" t="n">
        <v>-32</v>
      </c>
      <c r="D3">
        <f>DEGREES(E3)</f>
        <v/>
      </c>
      <c r="E3" s="53">
        <f>ATAN(C3/B3)</f>
        <v/>
      </c>
      <c r="F3" s="44">
        <f>SQRT(B3^2+E3^2)</f>
        <v/>
      </c>
      <c r="H3" s="43" t="inlineStr">
        <is>
          <t>n  (samples)</t>
        </is>
      </c>
      <c r="I3" s="44">
        <f>COUNTA(B3:B22)</f>
        <v/>
      </c>
      <c r="J3" s="45" t="inlineStr">
        <is>
          <t>—</t>
        </is>
      </c>
      <c r="K3" s="46" t="inlineStr">
        <is>
          <t xml:space="preserve"> Shot count</t>
        </is>
      </c>
    </row>
    <row r="4" ht="15" customHeight="1">
      <c r="A4" s="40" t="n">
        <v>2</v>
      </c>
      <c r="B4" s="40">
        <f>2100+91</f>
        <v/>
      </c>
      <c r="C4" s="40" t="n">
        <v>-15</v>
      </c>
      <c r="D4">
        <f>DEGREES(E4)</f>
        <v/>
      </c>
      <c r="E4" s="53">
        <f>ATAN(C4/B4)</f>
        <v/>
      </c>
      <c r="F4" s="44">
        <f>SQRT(B4^2+D4^2)</f>
        <v/>
      </c>
      <c r="H4" s="43" t="inlineStr">
        <is>
          <t>x_ideal  (theoretical)</t>
        </is>
      </c>
      <c r="I4" s="44" t="n">
        <v>2486</v>
      </c>
      <c r="J4" s="45" t="inlineStr">
        <is>
          <t>mm</t>
        </is>
      </c>
      <c r="K4" s="46" t="inlineStr">
        <is>
          <t xml:space="preserve"> From calcSx model</t>
        </is>
      </c>
    </row>
    <row r="5" ht="15" customHeight="1">
      <c r="A5" s="40" t="n">
        <v>3</v>
      </c>
      <c r="B5" s="40">
        <f>2100+80</f>
        <v/>
      </c>
      <c r="C5" s="40" t="n">
        <v>-4</v>
      </c>
      <c r="D5">
        <f>DEGREES(E5)</f>
        <v/>
      </c>
      <c r="E5" s="53">
        <f>ATAN(C5/B5)</f>
        <v/>
      </c>
      <c r="F5" s="44">
        <f>SQRT(B5^2+D5^2)</f>
        <v/>
      </c>
      <c r="H5" s="43" t="inlineStr">
        <is>
          <t>x̄   (mean x)</t>
        </is>
      </c>
      <c r="I5" s="47">
        <f>AVERAGE(B3:B17)</f>
        <v/>
      </c>
      <c r="J5" s="45" t="inlineStr">
        <is>
          <t>mm</t>
        </is>
      </c>
      <c r="K5" s="46" t="inlineStr">
        <is>
          <t xml:space="preserve"> =AVERAGE(x₁…xₙ)</t>
        </is>
      </c>
      <c r="L5" s="57">
        <f>AVERAGE(B3:B17)</f>
        <v/>
      </c>
    </row>
    <row r="6" ht="15" customHeight="1">
      <c r="A6" s="40" t="n">
        <v>4</v>
      </c>
      <c r="B6" s="40">
        <f>2100+104</f>
        <v/>
      </c>
      <c r="C6" s="40" t="n">
        <v>-6</v>
      </c>
      <c r="D6">
        <f>DEGREES(E6)</f>
        <v/>
      </c>
      <c r="E6" s="53">
        <f>ATAN(C6/B6)</f>
        <v/>
      </c>
      <c r="F6" s="44">
        <f>SQRT(B6^2+D6^2)</f>
        <v/>
      </c>
      <c r="H6" s="43" t="inlineStr">
        <is>
          <t>σx  (std dev x)</t>
        </is>
      </c>
      <c r="I6" s="44">
        <f>STDEV(B3:B17)</f>
        <v/>
      </c>
      <c r="J6" s="45" t="inlineStr">
        <is>
          <t>mm</t>
        </is>
      </c>
      <c r="K6" s="46" t="inlineStr">
        <is>
          <t xml:space="preserve"> =STDEV(x₁…xₙ)</t>
        </is>
      </c>
    </row>
    <row r="7" ht="15" customHeight="1">
      <c r="A7" s="40" t="n">
        <v>5</v>
      </c>
      <c r="B7" s="40">
        <f>2100+107</f>
        <v/>
      </c>
      <c r="C7" s="40" t="n">
        <v>6</v>
      </c>
      <c r="D7">
        <f>DEGREES(E7)</f>
        <v/>
      </c>
      <c r="E7" s="53">
        <f>ATAN(C7/B7)</f>
        <v/>
      </c>
      <c r="F7" s="44">
        <f>SQRT(B7^2+D7^2)</f>
        <v/>
      </c>
      <c r="H7" s="43" t="inlineStr">
        <is>
          <t>SE_x</t>
        </is>
      </c>
      <c r="I7" s="48">
        <f>I6/SQRT(I3)</f>
        <v/>
      </c>
      <c r="J7" s="45" t="inlineStr">
        <is>
          <t>mm</t>
        </is>
      </c>
      <c r="K7" s="46" t="inlineStr">
        <is>
          <t xml:space="preserve"> =σx / √n   ← fixed</t>
        </is>
      </c>
    </row>
    <row r="8" ht="15" customHeight="1">
      <c r="A8" s="40" t="n">
        <v>6</v>
      </c>
      <c r="B8" s="40">
        <f>2100+49</f>
        <v/>
      </c>
      <c r="C8" s="40" t="n">
        <v>-37</v>
      </c>
      <c r="D8">
        <f>DEGREES(E8)</f>
        <v/>
      </c>
      <c r="E8" s="53">
        <f>ATAN(C8/B8)</f>
        <v/>
      </c>
      <c r="F8" s="44">
        <f>SQRT(B8^2+D8^2)</f>
        <v/>
      </c>
      <c r="H8" s="43" t="inlineStr">
        <is>
          <t>t  (95%, df=14)</t>
        </is>
      </c>
      <c r="I8" s="44" t="n">
        <v>2.1448</v>
      </c>
      <c r="J8" s="45" t="inlineStr">
        <is>
          <t>—</t>
        </is>
      </c>
      <c r="K8" s="46" t="inlineStr">
        <is>
          <t xml:space="preserve"> t₀.₀₂₅,₁₄</t>
        </is>
      </c>
    </row>
    <row r="9" ht="15" customHeight="1">
      <c r="A9" s="40" t="n">
        <v>7</v>
      </c>
      <c r="B9" s="40">
        <f>2100+94</f>
        <v/>
      </c>
      <c r="C9" s="40" t="n">
        <v>-22</v>
      </c>
      <c r="D9">
        <f>DEGREES(E9)</f>
        <v/>
      </c>
      <c r="E9" s="53">
        <f>ATAN(C9/B9)</f>
        <v/>
      </c>
      <c r="F9" s="44">
        <f>SQRT(B9^2+D9^2)</f>
        <v/>
      </c>
      <c r="H9" s="43" t="inlineStr">
        <is>
          <t>95% CI  lower x</t>
        </is>
      </c>
      <c r="I9" s="44">
        <f>I5-I8*I7</f>
        <v/>
      </c>
      <c r="J9" s="45" t="inlineStr">
        <is>
          <t>mm</t>
        </is>
      </c>
      <c r="K9" s="46" t="inlineStr">
        <is>
          <t xml:space="preserve"> =x̄ − t·SE_x</t>
        </is>
      </c>
    </row>
    <row r="10" ht="15" customHeight="1">
      <c r="A10" s="40" t="n">
        <v>8</v>
      </c>
      <c r="B10" s="40">
        <f>2100+68</f>
        <v/>
      </c>
      <c r="C10" s="40" t="n">
        <v>-20</v>
      </c>
      <c r="D10">
        <f>DEGREES(E10)</f>
        <v/>
      </c>
      <c r="E10" s="53">
        <f>ATAN(C10/B10)</f>
        <v/>
      </c>
      <c r="F10" s="44">
        <f>SQRT(B10^2+D10^2)</f>
        <v/>
      </c>
      <c r="H10" s="43" t="inlineStr">
        <is>
          <t>95% CI  upper x</t>
        </is>
      </c>
      <c r="I10" s="44">
        <f>I5+I8*I7</f>
        <v/>
      </c>
      <c r="J10" s="45" t="inlineStr">
        <is>
          <t>mm</t>
        </is>
      </c>
      <c r="K10" s="46" t="inlineStr">
        <is>
          <t xml:space="preserve"> =x̄ + t·SE_x</t>
        </is>
      </c>
    </row>
    <row r="11" ht="15" customHeight="1">
      <c r="A11" s="40" t="n">
        <v>9</v>
      </c>
      <c r="B11" s="40">
        <f>2100+171</f>
        <v/>
      </c>
      <c r="C11" s="40" t="n">
        <v>-11</v>
      </c>
      <c r="D11">
        <f>DEGREES(E11)</f>
        <v/>
      </c>
      <c r="E11" s="53">
        <f>ATAN(C11/B11)</f>
        <v/>
      </c>
      <c r="F11" s="44">
        <f>SQRT(B11^2+D11^2)</f>
        <v/>
      </c>
      <c r="H11" s="43" t="inlineStr">
        <is>
          <t>Bias  (x̄ − x_ideal)</t>
        </is>
      </c>
      <c r="I11" s="49">
        <f>I5-I4</f>
        <v/>
      </c>
      <c r="J11" s="45" t="inlineStr">
        <is>
          <t>mm</t>
        </is>
      </c>
      <c r="K11" s="46" t="inlineStr">
        <is>
          <t xml:space="preserve"> Systematic X error</t>
        </is>
      </c>
    </row>
    <row r="12" ht="15" customHeight="1">
      <c r="A12" s="40" t="n">
        <v>10</v>
      </c>
      <c r="B12" s="40">
        <f>2100+144</f>
        <v/>
      </c>
      <c r="C12" s="40" t="n">
        <v>-43</v>
      </c>
      <c r="D12">
        <f>DEGREES(E12)</f>
        <v/>
      </c>
      <c r="E12" s="53">
        <f>ATAN(C12/B12)</f>
        <v/>
      </c>
      <c r="F12" s="44">
        <f>SQRT(B12^2+D12^2)</f>
        <v/>
      </c>
      <c r="H12" s="11" t="n"/>
      <c r="I12" s="11" t="n"/>
      <c r="J12" s="11" t="n"/>
      <c r="K12" s="11" t="n"/>
    </row>
    <row r="13" ht="15" customHeight="1">
      <c r="A13" s="40" t="n">
        <v>11</v>
      </c>
      <c r="B13" s="40">
        <f>2100+34</f>
        <v/>
      </c>
      <c r="C13" s="40" t="n">
        <v>18</v>
      </c>
      <c r="D13">
        <f>DEGREES(E13)</f>
        <v/>
      </c>
      <c r="E13" s="53">
        <f>ATAN(C13/B13)</f>
        <v/>
      </c>
      <c r="F13" s="44">
        <f>SQRT(B13^2+D13^2)</f>
        <v/>
      </c>
      <c r="H13" s="43" t="inlineStr">
        <is>
          <t>ȳ   (mean y)</t>
        </is>
      </c>
      <c r="I13" s="44">
        <f>AVERAGE(C3:C17)</f>
        <v/>
      </c>
      <c r="J13" s="45" t="inlineStr">
        <is>
          <t>mm</t>
        </is>
      </c>
      <c r="K13" s="46" t="inlineStr">
        <is>
          <t xml:space="preserve"> =AVERAGE(y₁…yₙ)</t>
        </is>
      </c>
    </row>
    <row r="14" ht="15" customHeight="1">
      <c r="A14" s="40" t="n">
        <v>12</v>
      </c>
      <c r="B14" s="40">
        <f>2100+121</f>
        <v/>
      </c>
      <c r="C14" s="40" t="n">
        <v>-28</v>
      </c>
      <c r="D14">
        <f>DEGREES(E14)</f>
        <v/>
      </c>
      <c r="E14" s="53">
        <f>ATAN(C14/B14)</f>
        <v/>
      </c>
      <c r="F14" s="44">
        <f>SQRT(B14^2+D14^2)</f>
        <v/>
      </c>
      <c r="H14" s="43" t="inlineStr">
        <is>
          <t>σy  (std dev y)</t>
        </is>
      </c>
      <c r="I14" s="44">
        <f>STDEV(C3:C17)</f>
        <v/>
      </c>
      <c r="J14" s="45" t="inlineStr">
        <is>
          <t>mm</t>
        </is>
      </c>
      <c r="K14" s="46" t="inlineStr">
        <is>
          <t xml:space="preserve"> =STDEV(y₁…yₙ)</t>
        </is>
      </c>
    </row>
    <row r="15" ht="15" customHeight="1">
      <c r="A15" s="40" t="n">
        <v>13</v>
      </c>
      <c r="B15" s="40">
        <f>2100+110</f>
        <v/>
      </c>
      <c r="C15" s="40" t="n">
        <v>-9</v>
      </c>
      <c r="D15">
        <f>DEGREES(E15)</f>
        <v/>
      </c>
      <c r="E15" s="53">
        <f>ATAN(C15/B15)</f>
        <v/>
      </c>
      <c r="F15" s="44">
        <f>SQRT(B15^2+D15^2)</f>
        <v/>
      </c>
      <c r="H15" s="43" t="inlineStr">
        <is>
          <t>SE_y</t>
        </is>
      </c>
      <c r="I15" s="48">
        <f>I14/SQRT(I3)</f>
        <v/>
      </c>
      <c r="J15" s="45" t="inlineStr">
        <is>
          <t>mm</t>
        </is>
      </c>
      <c r="K15" s="46" t="inlineStr">
        <is>
          <t xml:space="preserve"> =σy / √n</t>
        </is>
      </c>
    </row>
    <row r="16" ht="15" customHeight="1">
      <c r="A16" s="40" t="n">
        <v>14</v>
      </c>
      <c r="B16" s="40">
        <f>2100+64</f>
        <v/>
      </c>
      <c r="C16" s="40" t="n">
        <v>-35</v>
      </c>
      <c r="D16">
        <f>DEGREES(E16)</f>
        <v/>
      </c>
      <c r="E16" s="53">
        <f>ATAN(C16/B16)</f>
        <v/>
      </c>
      <c r="F16" s="44">
        <f>SQRT(B16^2+D16^2)</f>
        <v/>
      </c>
      <c r="H16" s="43" t="inlineStr">
        <is>
          <t>95% CI  lower y</t>
        </is>
      </c>
      <c r="I16" s="44">
        <f>I13-I8*I15</f>
        <v/>
      </c>
      <c r="J16" s="45" t="inlineStr">
        <is>
          <t>mm</t>
        </is>
      </c>
      <c r="K16" s="46" t="inlineStr">
        <is>
          <t xml:space="preserve"> =ȳ − t·SE_y</t>
        </is>
      </c>
    </row>
    <row r="17" ht="15" customHeight="1">
      <c r="A17" s="40" t="n">
        <v>15</v>
      </c>
      <c r="B17" s="40">
        <f>2100+10</f>
        <v/>
      </c>
      <c r="C17" s="40" t="n">
        <v>-20</v>
      </c>
      <c r="D17">
        <f>DEGREES(E17)</f>
        <v/>
      </c>
      <c r="E17" s="53">
        <f>ATAN(C17/B17)</f>
        <v/>
      </c>
      <c r="F17" s="44">
        <f>SQRT(B17^2+D17^2)</f>
        <v/>
      </c>
      <c r="H17" s="43" t="inlineStr">
        <is>
          <t>95% CI  upper y</t>
        </is>
      </c>
      <c r="I17" s="44">
        <f>I13+I8*I15</f>
        <v/>
      </c>
      <c r="J17" s="45" t="inlineStr">
        <is>
          <t>mm</t>
        </is>
      </c>
      <c r="K17" s="46" t="inlineStr">
        <is>
          <t xml:space="preserve"> =ȳ + t·SE_y</t>
        </is>
      </c>
    </row>
    <row r="18" ht="15" customHeight="1">
      <c r="A18" s="40" t="n"/>
      <c r="B18" s="40" t="n"/>
      <c r="C18" s="40" t="n"/>
      <c r="D18" s="41" t="n"/>
      <c r="E18" s="41" t="n"/>
      <c r="F18" s="42" t="n"/>
      <c r="H18" s="11" t="n"/>
      <c r="I18" s="11" t="n"/>
      <c r="J18" s="11" t="n"/>
      <c r="K18" s="11" t="n"/>
    </row>
    <row r="19" ht="15" customHeight="1">
      <c r="A19" s="40" t="n"/>
      <c r="B19" s="40" t="n"/>
      <c r="C19" s="40" t="n"/>
      <c r="D19" s="41" t="n"/>
      <c r="E19" s="41" t="n"/>
      <c r="F19" s="42" t="n"/>
      <c r="H19" s="43" t="inlineStr">
        <is>
          <t>r̄   (mean radial error)</t>
        </is>
      </c>
      <c r="I19" s="44">
        <f>AVERAGE(F3:F17)</f>
        <v/>
      </c>
      <c r="J19" s="45" t="inlineStr">
        <is>
          <t>mm</t>
        </is>
      </c>
      <c r="K19" s="46" t="inlineStr">
        <is>
          <t xml:space="preserve"> =AVERAGE(r₁…rₙ)</t>
        </is>
      </c>
    </row>
    <row r="20" ht="15" customHeight="1">
      <c r="A20" s="40" t="n"/>
      <c r="B20" s="40" t="n"/>
      <c r="C20" s="40" t="n"/>
      <c r="D20" s="41" t="n"/>
      <c r="E20" s="41" t="n"/>
      <c r="F20" s="42" t="n"/>
      <c r="H20" s="43" t="inlineStr">
        <is>
          <t>σr  (std dev radial)</t>
        </is>
      </c>
      <c r="I20" s="44">
        <f>STDEV(F3:F17)</f>
        <v/>
      </c>
      <c r="J20" s="45" t="inlineStr">
        <is>
          <t>mm</t>
        </is>
      </c>
      <c r="K20" s="46" t="inlineStr">
        <is>
          <t xml:space="preserve"> =STDEV(r₁…rₙ)</t>
        </is>
      </c>
    </row>
    <row r="21" ht="15" customHeight="1">
      <c r="A21" s="40" t="n"/>
      <c r="B21" s="40" t="n"/>
      <c r="C21" s="40" t="n"/>
      <c r="D21" s="41" t="n"/>
      <c r="E21" s="41" t="n"/>
      <c r="F21" s="42" t="n"/>
      <c r="H21" s="43" t="inlineStr">
        <is>
          <t>r̄ + 2σr  (95% predict.)</t>
        </is>
      </c>
      <c r="I21" s="49">
        <f>I19+2*I20</f>
        <v/>
      </c>
      <c r="J21" s="45" t="inlineStr">
        <is>
          <t>mm</t>
        </is>
      </c>
      <c r="K21" s="46" t="inlineStr">
        <is>
          <t xml:space="preserve"> 95% prediction interval</t>
        </is>
      </c>
    </row>
    <row r="22">
      <c r="A22" s="40" t="n"/>
      <c r="B22" s="40" t="n"/>
      <c r="C22" s="40" t="n"/>
      <c r="D22" s="41" t="n"/>
      <c r="E22" s="41" t="n"/>
      <c r="F22" s="42" t="n"/>
      <c r="I22" s="38">
        <f>I21-I19</f>
        <v/>
      </c>
    </row>
    <row r="23">
      <c r="A23" s="40" t="n"/>
      <c r="B23" s="40" t="n"/>
      <c r="C23" s="40" t="n"/>
      <c r="D23" s="41" t="n"/>
      <c r="E23" s="41" t="n"/>
      <c r="F23" s="42" t="n"/>
      <c r="H23" s="52" t="inlineStr">
        <is>
          <t>mean θ (deg)</t>
        </is>
      </c>
      <c r="I23">
        <f>AVERAGE(D3:D17)</f>
        <v/>
      </c>
      <c r="J23" s="56" t="inlineStr">
        <is>
          <t>deg</t>
        </is>
      </c>
    </row>
    <row r="24">
      <c r="H24" s="52" t="inlineStr">
        <is>
          <t>σθ (deg)</t>
        </is>
      </c>
      <c r="I24">
        <f>_xlfn.STDEV.S(D3:D17)</f>
        <v/>
      </c>
      <c r="J24" s="56" t="inlineStr">
        <is>
          <t>deg</t>
        </is>
      </c>
    </row>
    <row r="25">
      <c r="A25" s="50" t="inlineStr">
        <is>
          <t>x_ideal →</t>
        </is>
      </c>
      <c r="B25" s="51" t="n">
        <v>2486</v>
      </c>
      <c r="C25" t="inlineStr">
        <is>
          <t>x_real</t>
        </is>
      </c>
      <c r="D25" t="inlineStr">
        <is>
          <t>x̄_real   (mean x_real)</t>
        </is>
      </c>
      <c r="H25" s="52" t="inlineStr">
        <is>
          <t>mean θ (rad)</t>
        </is>
      </c>
      <c r="I25" s="55">
        <f>AVERAGE(E3:E17)</f>
        <v/>
      </c>
      <c r="J25" s="56" t="inlineStr">
        <is>
          <t>rad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σθ (rad)</t>
        </is>
      </c>
      <c r="I26">
        <f>_xlfn.STDEV.S(E3:E17)</f>
        <v/>
      </c>
      <c r="J26" s="56" t="inlineStr">
        <is>
          <t>rad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8" t="inlineStr">
        <is>
          <t xml:space="preserve">range θ </t>
        </is>
      </c>
      <c r="I27" s="61">
        <f>MAX(D3:D17)-MIN(D3:D17)</f>
        <v/>
      </c>
      <c r="J27" s="7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8" t="inlineStr">
        <is>
          <t xml:space="preserve">range θ </t>
        </is>
      </c>
      <c r="I28" s="61">
        <f>MAX(E3:E17)-MIN(E3:E17)</f>
        <v/>
      </c>
      <c r="J28" s="7" t="inlineStr">
        <is>
          <t>rad</t>
        </is>
      </c>
    </row>
    <row r="29">
      <c r="B29" t="n">
        <v>4</v>
      </c>
      <c r="C29" s="37">
        <f>$B6+102</f>
        <v/>
      </c>
    </row>
    <row r="30">
      <c r="B30" t="n">
        <v>5</v>
      </c>
      <c r="C30" s="37">
        <f>$B7+102</f>
        <v/>
      </c>
    </row>
    <row r="31">
      <c r="B31" t="n">
        <v>6</v>
      </c>
      <c r="C31" s="37">
        <f>$B8+102</f>
        <v/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zoomScale="81" zoomScaleNormal="100" workbookViewId="0">
      <selection activeCell="A2" sqref="A2"/>
    </sheetView>
  </sheetViews>
  <sheetFormatPr baseColWidth="8" defaultColWidth="8.5546875" defaultRowHeight="14.4"/>
  <cols>
    <col width="7.88671875" customWidth="1" min="1" max="1"/>
    <col width="12" customWidth="1" min="2" max="3"/>
    <col width="22.109375" customWidth="1" min="4" max="4"/>
    <col width="22.5546875" customWidth="1" min="5" max="5"/>
    <col width="18" customWidth="1" min="6" max="6"/>
    <col width="3" customWidth="1" min="7" max="7"/>
    <col width="28" customWidth="1" min="8" max="8"/>
    <col width="19.77734375" customWidth="1" min="9" max="9"/>
    <col width="7.88671875" customWidth="1" min="10" max="10"/>
    <col width="30" customWidth="1" min="11" max="11"/>
    <col width="20.5546875" bestFit="1" customWidth="1" min="12" max="12"/>
  </cols>
  <sheetData>
    <row r="1" ht="31.5" customHeight="1">
      <c r="A1" s="62" t="inlineStr">
        <is>
          <t>Experiment 3 — Raw Data   |   Draw Length  L = 130 mm   |   n = 15  shots</t>
        </is>
      </c>
    </row>
    <row r="2" ht="42" customHeight="1">
      <c r="A2" s="39" t="inlineStr">
        <is>
          <t>Shot #</t>
        </is>
      </c>
      <c r="B2" s="39" t="inlineStr">
        <is>
          <t>x (mm)</t>
        </is>
      </c>
      <c r="C2" s="39" t="inlineStr">
        <is>
          <t>y (mm)</t>
        </is>
      </c>
      <c r="D2" s="39" t="inlineStr">
        <is>
          <t>theta(deg)</t>
        </is>
      </c>
      <c r="E2" s="39" t="inlineStr">
        <is>
          <t>theta(rad)</t>
        </is>
      </c>
      <c r="F2" s="39" t="inlineStr">
        <is>
          <t>Radial r (mm)</t>
        </is>
      </c>
      <c r="H2" s="39" t="inlineStr">
        <is>
          <t>Parameter</t>
        </is>
      </c>
      <c r="I2" s="39" t="inlineStr">
        <is>
          <t>Value</t>
        </is>
      </c>
      <c r="J2" s="39" t="inlineStr">
        <is>
          <t>Unit</t>
        </is>
      </c>
      <c r="K2" s="39" t="inlineStr">
        <is>
          <t>Description</t>
        </is>
      </c>
    </row>
    <row r="3" ht="15" customHeight="1">
      <c r="A3" s="40" t="n">
        <v>1</v>
      </c>
      <c r="B3" s="40">
        <f>2100+66</f>
        <v/>
      </c>
      <c r="C3" s="40" t="n">
        <v>-30</v>
      </c>
      <c r="D3">
        <f>DEGREES(E3)</f>
        <v/>
      </c>
      <c r="E3" s="53">
        <f>ATAN(C3/B3)</f>
        <v/>
      </c>
      <c r="F3" s="44">
        <f>SQRT(B3^2+E3^2)</f>
        <v/>
      </c>
      <c r="H3" s="43" t="inlineStr">
        <is>
          <t>n  (samples)</t>
        </is>
      </c>
      <c r="I3" s="44">
        <f>COUNTA(B3:B22)</f>
        <v/>
      </c>
      <c r="J3" s="45" t="inlineStr">
        <is>
          <t>—</t>
        </is>
      </c>
      <c r="K3" s="46" t="inlineStr">
        <is>
          <t xml:space="preserve"> Shot count</t>
        </is>
      </c>
    </row>
    <row r="4" ht="15" customHeight="1">
      <c r="A4" s="40" t="n">
        <v>2</v>
      </c>
      <c r="B4" s="40">
        <f>2100+105</f>
        <v/>
      </c>
      <c r="C4" s="40" t="n">
        <v>-45</v>
      </c>
      <c r="D4">
        <f>DEGREES(E4)</f>
        <v/>
      </c>
      <c r="E4" s="53">
        <f>ATAN(C4/B4)</f>
        <v/>
      </c>
      <c r="F4" s="44">
        <f>SQRT(B4^2+D4^2)</f>
        <v/>
      </c>
      <c r="H4" s="43" t="inlineStr">
        <is>
          <t>x_ideal  (theoretical)</t>
        </is>
      </c>
      <c r="I4" s="44" t="n">
        <v>2486</v>
      </c>
      <c r="J4" s="45" t="inlineStr">
        <is>
          <t>mm</t>
        </is>
      </c>
      <c r="K4" s="46" t="inlineStr">
        <is>
          <t xml:space="preserve"> From calcSx model</t>
        </is>
      </c>
    </row>
    <row r="5" ht="15" customHeight="1">
      <c r="A5" s="40" t="n">
        <v>3</v>
      </c>
      <c r="B5" s="40">
        <f>2100+93</f>
        <v/>
      </c>
      <c r="C5" s="40" t="n">
        <v>-23</v>
      </c>
      <c r="D5">
        <f>DEGREES(E5)</f>
        <v/>
      </c>
      <c r="E5" s="53">
        <f>ATAN(C5/B5)</f>
        <v/>
      </c>
      <c r="F5" s="44">
        <f>SQRT(B5^2+D5^2)</f>
        <v/>
      </c>
      <c r="H5" s="43" t="inlineStr">
        <is>
          <t>x̄   (mean x)</t>
        </is>
      </c>
      <c r="I5" s="47">
        <f>AVERAGE(B3:B17)</f>
        <v/>
      </c>
      <c r="J5" s="45" t="inlineStr">
        <is>
          <t>mm</t>
        </is>
      </c>
      <c r="K5" s="46" t="inlineStr">
        <is>
          <t xml:space="preserve"> =AVERAGE(x₁…xₙ)</t>
        </is>
      </c>
      <c r="L5" s="57">
        <f>AVERAGE(B3:B17)</f>
        <v/>
      </c>
    </row>
    <row r="6" ht="15" customHeight="1">
      <c r="A6" s="40" t="n">
        <v>4</v>
      </c>
      <c r="B6" s="40">
        <f>2100+121</f>
        <v/>
      </c>
      <c r="C6" s="40" t="n">
        <v>-19</v>
      </c>
      <c r="D6">
        <f>DEGREES(E6)</f>
        <v/>
      </c>
      <c r="E6" s="53">
        <f>ATAN(C6/B6)</f>
        <v/>
      </c>
      <c r="F6" s="44">
        <f>SQRT(B6^2+D6^2)</f>
        <v/>
      </c>
      <c r="H6" s="43" t="inlineStr">
        <is>
          <t>σx  (std dev x)</t>
        </is>
      </c>
      <c r="I6" s="44">
        <f>STDEV(B3:B17)</f>
        <v/>
      </c>
      <c r="J6" s="45" t="inlineStr">
        <is>
          <t>mm</t>
        </is>
      </c>
      <c r="K6" s="46" t="inlineStr">
        <is>
          <t xml:space="preserve"> =STDEV(x₁…xₙ)</t>
        </is>
      </c>
    </row>
    <row r="7" ht="15" customHeight="1">
      <c r="A7" s="40" t="n">
        <v>5</v>
      </c>
      <c r="B7" s="40">
        <f>2100+95</f>
        <v/>
      </c>
      <c r="C7" s="40" t="n">
        <v>-56</v>
      </c>
      <c r="D7">
        <f>DEGREES(E7)</f>
        <v/>
      </c>
      <c r="E7" s="53">
        <f>ATAN(C7/B7)</f>
        <v/>
      </c>
      <c r="F7" s="44">
        <f>SQRT(B7^2+D7^2)</f>
        <v/>
      </c>
      <c r="H7" s="43" t="inlineStr">
        <is>
          <t>SE_x</t>
        </is>
      </c>
      <c r="I7" s="48">
        <f>I6/SQRT(I3)</f>
        <v/>
      </c>
      <c r="J7" s="45" t="inlineStr">
        <is>
          <t>mm</t>
        </is>
      </c>
      <c r="K7" s="46" t="inlineStr">
        <is>
          <t xml:space="preserve"> =σx / √n   ← fixed</t>
        </is>
      </c>
    </row>
    <row r="8" ht="15" customHeight="1">
      <c r="A8" s="40" t="n">
        <v>6</v>
      </c>
      <c r="B8" s="40">
        <f>2100+159</f>
        <v/>
      </c>
      <c r="C8" s="40" t="n">
        <v>0</v>
      </c>
      <c r="D8">
        <f>DEGREES(E8)</f>
        <v/>
      </c>
      <c r="E8" s="53">
        <f>ATAN(C8/B8)</f>
        <v/>
      </c>
      <c r="F8" s="44">
        <f>SQRT(B8^2+D8^2)</f>
        <v/>
      </c>
      <c r="H8" s="43" t="inlineStr">
        <is>
          <t>t  (95%, df=14)</t>
        </is>
      </c>
      <c r="I8" s="44" t="n">
        <v>2.1448</v>
      </c>
      <c r="J8" s="45" t="inlineStr">
        <is>
          <t>—</t>
        </is>
      </c>
      <c r="K8" s="46" t="inlineStr">
        <is>
          <t xml:space="preserve"> t₀.₀₂₅,₁₄</t>
        </is>
      </c>
    </row>
    <row r="9" ht="15" customHeight="1">
      <c r="A9" s="40" t="n">
        <v>7</v>
      </c>
      <c r="B9" s="40">
        <f>2100+127</f>
        <v/>
      </c>
      <c r="C9" s="40" t="n">
        <v>-22</v>
      </c>
      <c r="D9">
        <f>DEGREES(E9)</f>
        <v/>
      </c>
      <c r="E9" s="53">
        <f>ATAN(C9/B9)</f>
        <v/>
      </c>
      <c r="F9" s="44">
        <f>SQRT(B9^2+D9^2)</f>
        <v/>
      </c>
      <c r="H9" s="43" t="inlineStr">
        <is>
          <t>95% CI  lower x</t>
        </is>
      </c>
      <c r="I9" s="44">
        <f>I5-I8*I7</f>
        <v/>
      </c>
      <c r="J9" s="45" t="inlineStr">
        <is>
          <t>mm</t>
        </is>
      </c>
      <c r="K9" s="46" t="inlineStr">
        <is>
          <t xml:space="preserve"> =x̄ − t·SE_x</t>
        </is>
      </c>
    </row>
    <row r="10" ht="15" customHeight="1">
      <c r="A10" s="40" t="n">
        <v>8</v>
      </c>
      <c r="B10" s="40">
        <f>2100+93</f>
        <v/>
      </c>
      <c r="C10" s="40" t="n">
        <v>-30</v>
      </c>
      <c r="D10">
        <f>DEGREES(E10)</f>
        <v/>
      </c>
      <c r="E10" s="53">
        <f>ATAN(C10/B10)</f>
        <v/>
      </c>
      <c r="F10" s="44">
        <f>SQRT(B10^2+D10^2)</f>
        <v/>
      </c>
      <c r="H10" s="43" t="inlineStr">
        <is>
          <t>95% CI  upper x</t>
        </is>
      </c>
      <c r="I10" s="44">
        <f>I5+I8*I7</f>
        <v/>
      </c>
      <c r="J10" s="45" t="inlineStr">
        <is>
          <t>mm</t>
        </is>
      </c>
      <c r="K10" s="46" t="inlineStr">
        <is>
          <t xml:space="preserve"> =x̄ + t·SE_x</t>
        </is>
      </c>
    </row>
    <row r="11" ht="15" customHeight="1">
      <c r="A11" s="40" t="n">
        <v>9</v>
      </c>
      <c r="B11" s="40">
        <f>2100+110</f>
        <v/>
      </c>
      <c r="C11" s="40" t="n">
        <v>-2</v>
      </c>
      <c r="D11">
        <f>DEGREES(E11)</f>
        <v/>
      </c>
      <c r="E11" s="53">
        <f>ATAN(C11/B11)</f>
        <v/>
      </c>
      <c r="F11" s="44">
        <f>SQRT(B11^2+D11^2)</f>
        <v/>
      </c>
      <c r="H11" s="43" t="inlineStr">
        <is>
          <t>Bias  (x̄ − x_ideal)</t>
        </is>
      </c>
      <c r="I11" s="49">
        <f>I5-I4</f>
        <v/>
      </c>
      <c r="J11" s="45" t="inlineStr">
        <is>
          <t>mm</t>
        </is>
      </c>
      <c r="K11" s="46" t="inlineStr">
        <is>
          <t xml:space="preserve"> Systematic X error</t>
        </is>
      </c>
    </row>
    <row r="12" ht="15" customHeight="1">
      <c r="A12" s="40" t="n">
        <v>10</v>
      </c>
      <c r="B12" s="40">
        <f>2100+118</f>
        <v/>
      </c>
      <c r="C12" s="40" t="n">
        <v>-13</v>
      </c>
      <c r="D12">
        <f>DEGREES(E12)</f>
        <v/>
      </c>
      <c r="E12" s="53">
        <f>ATAN(C12/B12)</f>
        <v/>
      </c>
      <c r="F12" s="44">
        <f>SQRT(B12^2+D12^2)</f>
        <v/>
      </c>
      <c r="H12" s="11" t="n"/>
      <c r="I12" s="11" t="n"/>
      <c r="J12" s="11" t="n"/>
      <c r="K12" s="11" t="n"/>
    </row>
    <row r="13" ht="15" customHeight="1">
      <c r="A13" s="40" t="n">
        <v>11</v>
      </c>
      <c r="B13" s="40">
        <f>2100+56</f>
        <v/>
      </c>
      <c r="C13" s="40" t="n">
        <v>-32</v>
      </c>
      <c r="D13">
        <f>DEGREES(E13)</f>
        <v/>
      </c>
      <c r="E13" s="53">
        <f>ATAN(C13/B13)</f>
        <v/>
      </c>
      <c r="F13" s="44">
        <f>SQRT(B13^2+D13^2)</f>
        <v/>
      </c>
      <c r="H13" s="43" t="inlineStr">
        <is>
          <t>ȳ   (mean y)</t>
        </is>
      </c>
      <c r="I13" s="44">
        <f>AVERAGE(C3:C17)</f>
        <v/>
      </c>
      <c r="J13" s="45" t="inlineStr">
        <is>
          <t>mm</t>
        </is>
      </c>
      <c r="K13" s="46" t="inlineStr">
        <is>
          <t xml:space="preserve"> =AVERAGE(y₁…yₙ)</t>
        </is>
      </c>
    </row>
    <row r="14" ht="15" customHeight="1">
      <c r="A14" s="40" t="n">
        <v>12</v>
      </c>
      <c r="B14" s="40">
        <f>2100+85</f>
        <v/>
      </c>
      <c r="C14" s="40" t="n">
        <v>-2</v>
      </c>
      <c r="D14">
        <f>DEGREES(E14)</f>
        <v/>
      </c>
      <c r="E14" s="53">
        <f>ATAN(C14/B14)</f>
        <v/>
      </c>
      <c r="F14" s="44">
        <f>SQRT(B14^2+D14^2)</f>
        <v/>
      </c>
      <c r="H14" s="43" t="inlineStr">
        <is>
          <t>σy  (std dev y)</t>
        </is>
      </c>
      <c r="I14" s="44">
        <f>STDEV(C3:C17)</f>
        <v/>
      </c>
      <c r="J14" s="45" t="inlineStr">
        <is>
          <t>mm</t>
        </is>
      </c>
      <c r="K14" s="46" t="inlineStr">
        <is>
          <t xml:space="preserve"> =STDEV(y₁…yₙ)</t>
        </is>
      </c>
    </row>
    <row r="15" ht="15" customHeight="1">
      <c r="A15" s="40" t="n">
        <v>13</v>
      </c>
      <c r="B15" s="40">
        <f>2100+143</f>
        <v/>
      </c>
      <c r="C15" s="40" t="n">
        <v>-16</v>
      </c>
      <c r="D15">
        <f>DEGREES(E15)</f>
        <v/>
      </c>
      <c r="E15" s="53">
        <f>ATAN(C15/B15)</f>
        <v/>
      </c>
      <c r="F15" s="44">
        <f>SQRT(B15^2+D15^2)</f>
        <v/>
      </c>
      <c r="H15" s="43" t="inlineStr">
        <is>
          <t>SE_y</t>
        </is>
      </c>
      <c r="I15" s="48">
        <f>I14/SQRT(I3)</f>
        <v/>
      </c>
      <c r="J15" s="45" t="inlineStr">
        <is>
          <t>mm</t>
        </is>
      </c>
      <c r="K15" s="46" t="inlineStr">
        <is>
          <t xml:space="preserve"> =σy / √n</t>
        </is>
      </c>
    </row>
    <row r="16" ht="15" customHeight="1">
      <c r="A16" s="40" t="n">
        <v>14</v>
      </c>
      <c r="B16" s="40">
        <f>2100+110</f>
        <v/>
      </c>
      <c r="C16" s="40" t="n">
        <v>-21</v>
      </c>
      <c r="D16">
        <f>DEGREES(E16)</f>
        <v/>
      </c>
      <c r="E16" s="53">
        <f>ATAN(C16/B16)</f>
        <v/>
      </c>
      <c r="F16" s="44">
        <f>SQRT(B16^2+D16^2)</f>
        <v/>
      </c>
      <c r="H16" s="43" t="inlineStr">
        <is>
          <t>95% CI  lower y</t>
        </is>
      </c>
      <c r="I16" s="44">
        <f>I13-I8*I15</f>
        <v/>
      </c>
      <c r="J16" s="45" t="inlineStr">
        <is>
          <t>mm</t>
        </is>
      </c>
      <c r="K16" s="46" t="inlineStr">
        <is>
          <t xml:space="preserve"> =ȳ − t·SE_y</t>
        </is>
      </c>
    </row>
    <row r="17" ht="15" customHeight="1">
      <c r="A17" s="40" t="n">
        <v>15</v>
      </c>
      <c r="B17" s="40">
        <f>2100+139</f>
        <v/>
      </c>
      <c r="C17" s="40" t="n">
        <v>-31</v>
      </c>
      <c r="D17">
        <f>DEGREES(E17)</f>
        <v/>
      </c>
      <c r="E17" s="53">
        <f>ATAN(C17/B17)</f>
        <v/>
      </c>
      <c r="F17" s="44">
        <f>SQRT(B17^2+D17^2)</f>
        <v/>
      </c>
      <c r="H17" s="43" t="inlineStr">
        <is>
          <t>95% CI  upper y</t>
        </is>
      </c>
      <c r="I17" s="44">
        <f>I13+I8*I15</f>
        <v/>
      </c>
      <c r="J17" s="45" t="inlineStr">
        <is>
          <t>mm</t>
        </is>
      </c>
      <c r="K17" s="46" t="inlineStr">
        <is>
          <t xml:space="preserve"> =ȳ + t·SE_y</t>
        </is>
      </c>
    </row>
    <row r="18" ht="15" customHeight="1">
      <c r="A18" s="40" t="n"/>
      <c r="B18" s="40" t="n"/>
      <c r="C18" s="40" t="n"/>
      <c r="D18" s="41" t="n"/>
      <c r="E18" s="41" t="n"/>
      <c r="F18" s="42" t="n"/>
      <c r="H18" s="11" t="n"/>
      <c r="I18" s="11" t="n"/>
      <c r="J18" s="11" t="n"/>
      <c r="K18" s="11" t="n"/>
    </row>
    <row r="19" ht="15" customHeight="1">
      <c r="A19" s="40" t="n"/>
      <c r="B19" s="40" t="n"/>
      <c r="C19" s="40" t="n"/>
      <c r="D19" s="41" t="n"/>
      <c r="E19" s="41" t="n"/>
      <c r="F19" s="42" t="n"/>
      <c r="H19" s="43" t="inlineStr">
        <is>
          <t>r̄   (mean radial error)</t>
        </is>
      </c>
      <c r="I19" s="44">
        <f>AVERAGE(F3:F17)</f>
        <v/>
      </c>
      <c r="J19" s="45" t="inlineStr">
        <is>
          <t>mm</t>
        </is>
      </c>
      <c r="K19" s="46" t="inlineStr">
        <is>
          <t xml:space="preserve"> =AVERAGE(r₁…rₙ)</t>
        </is>
      </c>
    </row>
    <row r="20" ht="15" customHeight="1">
      <c r="A20" s="40" t="n"/>
      <c r="B20" s="40" t="n"/>
      <c r="C20" s="40" t="n"/>
      <c r="D20" s="41" t="n"/>
      <c r="E20" s="41" t="n"/>
      <c r="F20" s="42" t="n"/>
      <c r="H20" s="43" t="inlineStr">
        <is>
          <t>σr  (std dev radial)</t>
        </is>
      </c>
      <c r="I20" s="44">
        <f>STDEV(F3:F17)</f>
        <v/>
      </c>
      <c r="J20" s="45" t="inlineStr">
        <is>
          <t>mm</t>
        </is>
      </c>
      <c r="K20" s="46" t="inlineStr">
        <is>
          <t xml:space="preserve"> =STDEV(r₁…rₙ)</t>
        </is>
      </c>
    </row>
    <row r="21" ht="15" customHeight="1">
      <c r="A21" s="40" t="n"/>
      <c r="B21" s="40" t="n"/>
      <c r="C21" s="40" t="n"/>
      <c r="D21" s="41" t="n"/>
      <c r="E21" s="41" t="n"/>
      <c r="F21" s="42" t="n"/>
      <c r="H21" s="43" t="inlineStr">
        <is>
          <t>r̄ + 2σr  (95% predict.)</t>
        </is>
      </c>
      <c r="I21" s="49">
        <f>I19+2*I20</f>
        <v/>
      </c>
      <c r="J21" s="45" t="inlineStr">
        <is>
          <t>mm</t>
        </is>
      </c>
      <c r="K21" s="46" t="inlineStr">
        <is>
          <t xml:space="preserve"> 95% prediction interval</t>
        </is>
      </c>
    </row>
    <row r="22">
      <c r="A22" s="40" t="n"/>
      <c r="B22" s="40" t="n"/>
      <c r="C22" s="40" t="n"/>
      <c r="D22" s="41" t="n"/>
      <c r="E22" s="41" t="n"/>
      <c r="F22" s="42" t="n"/>
      <c r="I22" s="38">
        <f>I21-I19</f>
        <v/>
      </c>
    </row>
    <row r="23">
      <c r="A23" s="40" t="n"/>
      <c r="B23" s="40" t="n"/>
      <c r="C23" s="40" t="n"/>
      <c r="D23" s="41" t="n"/>
      <c r="E23" s="41" t="n"/>
      <c r="F23" s="42" t="n"/>
      <c r="H23" s="52" t="inlineStr">
        <is>
          <t>mean θ (deg)</t>
        </is>
      </c>
      <c r="I23">
        <f>AVERAGE(D3:D17)</f>
        <v/>
      </c>
      <c r="J23" s="56" t="inlineStr">
        <is>
          <t>deg</t>
        </is>
      </c>
    </row>
    <row r="24">
      <c r="H24" s="52" t="inlineStr">
        <is>
          <t>σθ (deg)</t>
        </is>
      </c>
      <c r="I24">
        <f>_xlfn.STDEV.S(D3:D17)</f>
        <v/>
      </c>
      <c r="J24" s="56" t="inlineStr">
        <is>
          <t>deg</t>
        </is>
      </c>
    </row>
    <row r="25">
      <c r="A25" s="50" t="inlineStr">
        <is>
          <t>x_ideal →</t>
        </is>
      </c>
      <c r="B25" s="51" t="n">
        <v>2486</v>
      </c>
      <c r="C25" t="inlineStr">
        <is>
          <t>x_real</t>
        </is>
      </c>
      <c r="D25" t="inlineStr">
        <is>
          <t>x̄_real   (mean x_real)</t>
        </is>
      </c>
      <c r="H25" s="52" t="inlineStr">
        <is>
          <t>mean θ (rad)</t>
        </is>
      </c>
      <c r="I25" s="55">
        <f>AVERAGE(E3:E17)</f>
        <v/>
      </c>
      <c r="J25" s="56" t="inlineStr">
        <is>
          <t>rad</t>
        </is>
      </c>
    </row>
    <row r="26">
      <c r="B26" t="n">
        <v>1</v>
      </c>
      <c r="C26" s="37">
        <f>$B3+102</f>
        <v/>
      </c>
      <c r="D26" s="38">
        <f>AVERAGE(C26:C40)</f>
        <v/>
      </c>
      <c r="H26" s="52" t="inlineStr">
        <is>
          <t>σθ (rad)</t>
        </is>
      </c>
      <c r="I26">
        <f>_xlfn.STDEV.S(E3:E17)</f>
        <v/>
      </c>
      <c r="J26" s="56" t="inlineStr">
        <is>
          <t>rad</t>
        </is>
      </c>
    </row>
    <row r="27">
      <c r="B27" t="n">
        <v>2</v>
      </c>
      <c r="C27" s="37">
        <f>$B4+102</f>
        <v/>
      </c>
      <c r="D27" t="inlineStr">
        <is>
          <t>σx_real  (std dev x_real)</t>
        </is>
      </c>
      <c r="H27" s="58" t="inlineStr">
        <is>
          <t xml:space="preserve">range θ </t>
        </is>
      </c>
      <c r="I27" s="61">
        <f>MAX(D3:D17)-MIN(D3:D17)</f>
        <v/>
      </c>
      <c r="J27" s="7" t="inlineStr">
        <is>
          <t>deg</t>
        </is>
      </c>
    </row>
    <row r="28">
      <c r="B28" t="n">
        <v>3</v>
      </c>
      <c r="C28" s="37">
        <f>$B5+102</f>
        <v/>
      </c>
      <c r="D28">
        <f>_xlfn.STDEV.S(C26:C40)</f>
        <v/>
      </c>
      <c r="H28" s="58" t="inlineStr">
        <is>
          <t xml:space="preserve">range θ </t>
        </is>
      </c>
      <c r="I28" s="61">
        <f>MAX(E3:E17)-MIN(E3:E17)</f>
        <v/>
      </c>
      <c r="J28" s="7" t="inlineStr">
        <is>
          <t>rad</t>
        </is>
      </c>
    </row>
    <row r="29">
      <c r="B29" t="n">
        <v>4</v>
      </c>
      <c r="C29" s="37">
        <f>$B6+102</f>
        <v/>
      </c>
    </row>
    <row r="30">
      <c r="B30" t="n">
        <v>5</v>
      </c>
      <c r="C30" s="37">
        <f>$B7+102</f>
        <v/>
      </c>
    </row>
    <row r="31">
      <c r="B31" t="n">
        <v>6</v>
      </c>
      <c r="C31" s="37">
        <f>$B8+102</f>
        <v/>
      </c>
    </row>
    <row r="32">
      <c r="B32" t="n">
        <v>7</v>
      </c>
      <c r="C32" s="37">
        <f>$B9+102</f>
        <v/>
      </c>
    </row>
    <row r="33">
      <c r="B33" t="n">
        <v>8</v>
      </c>
      <c r="C33" s="37">
        <f>$B10+102</f>
        <v/>
      </c>
    </row>
    <row r="34">
      <c r="B34" t="n">
        <v>9</v>
      </c>
      <c r="C34" s="37">
        <f>$B11+102</f>
        <v/>
      </c>
    </row>
    <row r="35">
      <c r="B35" t="n">
        <v>10</v>
      </c>
      <c r="C35" s="37">
        <f>$B12+102</f>
        <v/>
      </c>
    </row>
    <row r="36">
      <c r="B36" t="n">
        <v>11</v>
      </c>
      <c r="C36" s="37">
        <f>$B13+102</f>
        <v/>
      </c>
    </row>
    <row r="37">
      <c r="B37" t="n">
        <v>12</v>
      </c>
      <c r="C37" s="37">
        <f>$B14+102</f>
        <v/>
      </c>
    </row>
    <row r="38">
      <c r="B38" t="n">
        <v>13</v>
      </c>
      <c r="C38" s="37">
        <f>$B15+102</f>
        <v/>
      </c>
    </row>
    <row r="39">
      <c r="B39" t="n">
        <v>14</v>
      </c>
      <c r="C39" s="37">
        <f>$B16+102</f>
        <v/>
      </c>
    </row>
    <row r="40">
      <c r="B40" t="n">
        <v>15</v>
      </c>
      <c r="C40" s="37">
        <f>$B17+102</f>
        <v/>
      </c>
    </row>
    <row r="41">
      <c r="C41" s="37" t="n"/>
    </row>
    <row r="42">
      <c r="C42" s="37" t="n"/>
    </row>
    <row r="43">
      <c r="C43" s="37" t="n"/>
    </row>
    <row r="44">
      <c r="C44" s="37" t="n"/>
    </row>
    <row r="45">
      <c r="C45" s="37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59" workbookViewId="0">
      <selection activeCell="A19" sqref="A19"/>
    </sheetView>
  </sheetViews>
  <sheetFormatPr baseColWidth="8" defaultRowHeight="14.4"/>
  <cols>
    <col width="14" customWidth="1" min="1" max="6"/>
    <col width="20.6640625" customWidth="1" min="7" max="7"/>
    <col width="14" customWidth="1" min="8" max="10"/>
  </cols>
  <sheetData>
    <row r="1" ht="15.6" customHeight="1">
      <c r="A1" s="65" t="inlineStr">
        <is>
          <t>Experiment 1 — Summary   |   Draw Length vs Landing Displacement</t>
        </is>
      </c>
    </row>
    <row r="3">
      <c r="A3" s="66" t="inlineStr">
        <is>
          <t>Section 1 — Statistical Summary per Draw Length</t>
        </is>
      </c>
    </row>
    <row r="4">
      <c r="A4" s="15" t="inlineStr">
        <is>
          <t>L (mm)</t>
        </is>
      </c>
      <c r="B4" s="15" t="inlineStr">
        <is>
          <t>x̄  (mm)</t>
        </is>
      </c>
      <c r="C4" s="15" t="inlineStr">
        <is>
          <t>σx (mm)</t>
        </is>
      </c>
      <c r="D4" s="15" t="inlineStr">
        <is>
          <t>SE_x (mm)</t>
        </is>
      </c>
      <c r="E4" s="15" t="inlineStr">
        <is>
          <t>95% CI Low x</t>
        </is>
      </c>
      <c r="F4" s="15" t="inlineStr">
        <is>
          <t>95% CI High x</t>
        </is>
      </c>
      <c r="G4" s="15" t="inlineStr">
        <is>
          <t>ȳ  (mm)</t>
        </is>
      </c>
      <c r="H4" s="15" t="inlineStr">
        <is>
          <t>σy (mm)</t>
        </is>
      </c>
      <c r="I4" s="15" t="inlineStr">
        <is>
          <t>SE_y (mm)</t>
        </is>
      </c>
      <c r="J4" s="15" t="inlineStr">
        <is>
          <t>PI upper (mm)</t>
        </is>
      </c>
    </row>
    <row r="5">
      <c r="A5" s="2" t="n">
        <v>80</v>
      </c>
      <c r="B5" s="6">
        <f>#REF!</f>
        <v/>
      </c>
      <c r="C5" s="6">
        <f>#REF!</f>
        <v/>
      </c>
      <c r="D5" s="6">
        <f>#REF!</f>
        <v/>
      </c>
      <c r="E5" s="6">
        <f>#REF!</f>
        <v/>
      </c>
      <c r="F5" s="6">
        <f>#REF!</f>
        <v/>
      </c>
      <c r="G5" s="6">
        <f>#REF!</f>
        <v/>
      </c>
      <c r="H5" s="6">
        <f>#REF!</f>
        <v/>
      </c>
      <c r="I5" s="6">
        <f>#REF!</f>
        <v/>
      </c>
      <c r="J5" s="6">
        <f>#REF! +#REF! *#REF! * SQRT(1 + 1/#REF!)</f>
        <v/>
      </c>
    </row>
    <row r="6">
      <c r="A6" s="2" t="n">
        <v>85</v>
      </c>
      <c r="B6" s="6">
        <f>#REF!</f>
        <v/>
      </c>
      <c r="C6" s="6">
        <f>#REF!</f>
        <v/>
      </c>
      <c r="D6" s="6">
        <f>#REF!</f>
        <v/>
      </c>
      <c r="E6" s="6">
        <f>#REF!</f>
        <v/>
      </c>
      <c r="F6" s="6">
        <f>#REF!</f>
        <v/>
      </c>
      <c r="G6" s="6">
        <f>#REF!</f>
        <v/>
      </c>
      <c r="H6" s="6">
        <f>#REF!</f>
        <v/>
      </c>
      <c r="I6" s="6">
        <f>#REF!</f>
        <v/>
      </c>
      <c r="J6" s="6">
        <f>#REF! +#REF! *#REF! * SQRT(1 + 1/#REF!)</f>
        <v/>
      </c>
    </row>
    <row r="7">
      <c r="A7" s="2" t="n">
        <v>90</v>
      </c>
      <c r="B7" s="6">
        <f>#REF!</f>
        <v/>
      </c>
      <c r="C7" s="6">
        <f>#REF!</f>
        <v/>
      </c>
      <c r="D7" s="6">
        <f>#REF!</f>
        <v/>
      </c>
      <c r="E7" s="6">
        <f>#REF!</f>
        <v/>
      </c>
      <c r="F7" s="6">
        <f>#REF!</f>
        <v/>
      </c>
      <c r="G7" s="6">
        <f>#REF!</f>
        <v/>
      </c>
      <c r="H7" s="6">
        <f>#REF!</f>
        <v/>
      </c>
      <c r="I7" s="6">
        <f>#REF!</f>
        <v/>
      </c>
      <c r="J7" s="6">
        <f>#REF! +#REF! *#REF! * SQRT(1 + 1/#REF!)</f>
        <v/>
      </c>
    </row>
    <row r="8">
      <c r="A8" s="2" t="n">
        <v>95</v>
      </c>
      <c r="B8" s="6">
        <f>#REF!</f>
        <v/>
      </c>
      <c r="C8" s="6">
        <f>#REF!</f>
        <v/>
      </c>
      <c r="D8" s="6">
        <f>#REF!</f>
        <v/>
      </c>
      <c r="E8" s="6">
        <f>#REF!</f>
        <v/>
      </c>
      <c r="F8" s="6">
        <f>#REF!</f>
        <v/>
      </c>
      <c r="G8" s="6">
        <f>#REF!</f>
        <v/>
      </c>
      <c r="H8" s="6">
        <f>#REF!</f>
        <v/>
      </c>
      <c r="I8" s="6">
        <f>#REF!</f>
        <v/>
      </c>
      <c r="J8" s="6">
        <f>#REF! +#REF! *#REF! * SQRT(1 + 1/#REF!)</f>
        <v/>
      </c>
    </row>
    <row r="9">
      <c r="A9" s="2" t="n">
        <v>100</v>
      </c>
      <c r="B9" s="6">
        <f>#REF!</f>
        <v/>
      </c>
      <c r="C9" s="6">
        <f>#REF!</f>
        <v/>
      </c>
      <c r="D9" s="6">
        <f>#REF!</f>
        <v/>
      </c>
      <c r="E9" s="6">
        <f>#REF!</f>
        <v/>
      </c>
      <c r="F9" s="6">
        <f>#REF!</f>
        <v/>
      </c>
      <c r="G9" s="6">
        <f>#REF!</f>
        <v/>
      </c>
      <c r="H9" s="6">
        <f>#REF!</f>
        <v/>
      </c>
      <c r="I9" s="6">
        <f>#REF!</f>
        <v/>
      </c>
      <c r="J9" s="6">
        <f>#REF! +#REF! *#REF! * SQRT(1 + 1/#REF!)</f>
        <v/>
      </c>
    </row>
    <row r="10">
      <c r="A10" s="2" t="n">
        <v>105</v>
      </c>
      <c r="B10" s="6">
        <f>#REF!</f>
        <v/>
      </c>
      <c r="C10" s="6">
        <f>#REF!</f>
        <v/>
      </c>
      <c r="D10" s="6">
        <f>#REF!</f>
        <v/>
      </c>
      <c r="E10" s="6">
        <f>#REF!</f>
        <v/>
      </c>
      <c r="F10" s="6">
        <f>#REF!</f>
        <v/>
      </c>
      <c r="G10" s="6">
        <f>#REF!</f>
        <v/>
      </c>
      <c r="H10" s="6">
        <f>#REF!</f>
        <v/>
      </c>
      <c r="I10" s="6">
        <f>#REF!</f>
        <v/>
      </c>
      <c r="J10" s="6">
        <f>#REF! +#REF! *#REF! * SQRT(1 + 1/#REF!)</f>
        <v/>
      </c>
    </row>
    <row r="11">
      <c r="A11" s="2" t="n">
        <v>110</v>
      </c>
      <c r="B11" s="6">
        <f>#REF!</f>
        <v/>
      </c>
      <c r="C11" s="6">
        <f>#REF!</f>
        <v/>
      </c>
      <c r="D11" s="6">
        <f>#REF!</f>
        <v/>
      </c>
      <c r="E11" s="6">
        <f>#REF!</f>
        <v/>
      </c>
      <c r="F11" s="6">
        <f>#REF!</f>
        <v/>
      </c>
      <c r="G11" s="6">
        <f>#REF!</f>
        <v/>
      </c>
      <c r="H11" s="6">
        <f>#REF!</f>
        <v/>
      </c>
      <c r="I11" s="6">
        <f>#REF!</f>
        <v/>
      </c>
      <c r="J11" s="6">
        <f>#REF! +#REF! *#REF! * SQRT(1 + 1/#REF!)</f>
        <v/>
      </c>
    </row>
    <row r="12">
      <c r="A12" s="2" t="n">
        <v>115</v>
      </c>
      <c r="B12" s="6">
        <f>#REF!</f>
        <v/>
      </c>
      <c r="C12" s="6">
        <f>#REF!</f>
        <v/>
      </c>
      <c r="D12" s="6">
        <f>#REF!</f>
        <v/>
      </c>
      <c r="E12" s="6">
        <f>#REF!</f>
        <v/>
      </c>
      <c r="F12" s="6">
        <f>#REF!</f>
        <v/>
      </c>
      <c r="G12" s="6">
        <f>#REF!</f>
        <v/>
      </c>
      <c r="H12" s="6">
        <f>#REF!</f>
        <v/>
      </c>
      <c r="I12" s="6">
        <f>#REF!</f>
        <v/>
      </c>
      <c r="J12" s="6">
        <f>#REF! +#REF! *#REF! * SQRT(1 + 1/#REF!)</f>
        <v/>
      </c>
    </row>
    <row r="13">
      <c r="A13" s="16" t="inlineStr">
        <is>
          <t>Mean</t>
        </is>
      </c>
      <c r="B13" s="11" t="n"/>
      <c r="C13" s="17">
        <f>AVERAGE(C5:C12)</f>
        <v/>
      </c>
      <c r="D13" s="17">
        <f>AVERAGE(D5:D12)</f>
        <v/>
      </c>
      <c r="E13" s="11" t="n"/>
      <c r="F13" s="11" t="n"/>
      <c r="G13" s="11" t="n"/>
      <c r="H13" s="17">
        <f>AVERAGE(H5:H12)</f>
        <v/>
      </c>
      <c r="I13" s="17">
        <f>AVERAGE(I5:I12)</f>
        <v/>
      </c>
      <c r="J13" s="11" t="n"/>
    </row>
    <row r="14">
      <c r="A14" s="18" t="inlineStr">
        <is>
          <t>Min σ</t>
        </is>
      </c>
      <c r="B14" s="11" t="n"/>
      <c r="C14" s="19">
        <f>MIN(C5:C12)</f>
        <v/>
      </c>
      <c r="D14" s="11" t="n"/>
      <c r="E14" s="11" t="n"/>
      <c r="F14" s="11" t="n"/>
      <c r="G14" s="11" t="n"/>
      <c r="H14" s="19">
        <f>MIN(H5:H12)</f>
        <v/>
      </c>
      <c r="I14" s="11" t="n"/>
      <c r="J14" s="11" t="n"/>
    </row>
    <row r="15">
      <c r="A15" s="20" t="inlineStr">
        <is>
          <t>Max σ</t>
        </is>
      </c>
      <c r="B15" s="11" t="n"/>
      <c r="C15" s="21">
        <f>MAX(C5:C12)</f>
        <v/>
      </c>
      <c r="D15" s="11" t="n"/>
      <c r="E15" s="11" t="n"/>
      <c r="F15" s="11" t="n"/>
      <c r="G15" s="11" t="n"/>
      <c r="H15" s="21">
        <f>MAX(H5:H12)</f>
        <v/>
      </c>
      <c r="I15" s="11" t="n"/>
      <c r="J15" s="11" t="n"/>
    </row>
    <row r="17">
      <c r="A17" s="67" t="inlineStr">
        <is>
          <t>Section 2 — Draw Length vs Mean Landing Point (Polynomial Regression, deg 2)</t>
        </is>
      </c>
    </row>
    <row r="18">
      <c r="A18" s="22" t="inlineStr">
        <is>
          <t>L (mm)</t>
        </is>
      </c>
      <c r="B18" s="22" t="inlineStr">
        <is>
          <t>x̄  measured (mm)</t>
        </is>
      </c>
      <c r="C18" s="22" t="inlineStr">
        <is>
          <t>x̄  poly fit (deg 2)</t>
        </is>
      </c>
      <c r="D18" s="22" t="inlineStr">
        <is>
          <t>Residual (mm)</t>
        </is>
      </c>
      <c r="F18" s="23" t="inlineStr">
        <is>
          <t>Regression Parameter</t>
        </is>
      </c>
      <c r="G18" s="23" t="inlineStr">
        <is>
          <t>Value</t>
        </is>
      </c>
      <c r="H18" s="23" t="inlineStr">
        <is>
          <t>Unit</t>
        </is>
      </c>
      <c r="J18" s="24" t="inlineStr">
        <is>
          <t>L helper</t>
        </is>
      </c>
      <c r="K18" s="24" t="inlineStr">
        <is>
          <t>L² helper</t>
        </is>
      </c>
    </row>
    <row r="19">
      <c r="A19" s="25" t="n">
        <v>80</v>
      </c>
      <c r="B19" s="26">
        <f>#REF!</f>
        <v/>
      </c>
      <c r="C19" s="26">
        <f>$G$19*A19^2+$G$20*A19+$G$21</f>
        <v/>
      </c>
      <c r="D19" s="26">
        <f>B19-C19</f>
        <v/>
      </c>
      <c r="F19" s="27" t="inlineStr">
        <is>
          <t>Coeff  a  (L²  term)</t>
        </is>
      </c>
      <c r="G19" s="28">
        <f>INDEX(LINEST(B19:B26,J19:K26),1,1)</f>
        <v/>
      </c>
      <c r="H19" s="29" t="inlineStr">
        <is>
          <t>mm / mm²</t>
        </is>
      </c>
      <c r="J19" s="30">
        <f>A19</f>
        <v/>
      </c>
      <c r="K19" s="31">
        <f>A19^2</f>
        <v/>
      </c>
    </row>
    <row r="20">
      <c r="A20" s="25" t="n">
        <v>85</v>
      </c>
      <c r="B20" s="26">
        <f>#REF!</f>
        <v/>
      </c>
      <c r="C20" s="26">
        <f>$G$19*A20^2+$G$20*A20+$G$21</f>
        <v/>
      </c>
      <c r="D20" s="26">
        <f>B20-C20</f>
        <v/>
      </c>
      <c r="F20" s="27" t="inlineStr">
        <is>
          <t>Coeff  b  (L  term)</t>
        </is>
      </c>
      <c r="G20" s="32">
        <f>INDEX(LINEST(B19:B26,J19:K26),1,2)</f>
        <v/>
      </c>
      <c r="H20" s="29" t="inlineStr">
        <is>
          <t>mm / mm</t>
        </is>
      </c>
      <c r="J20" s="30">
        <f>A20</f>
        <v/>
      </c>
      <c r="K20" s="31">
        <f>A20^2</f>
        <v/>
      </c>
    </row>
    <row r="21">
      <c r="A21" s="25" t="n">
        <v>90</v>
      </c>
      <c r="B21" s="26">
        <f>#REF!</f>
        <v/>
      </c>
      <c r="C21" s="26">
        <f>$G$19*A21^2+$G$20*A21+$G$21</f>
        <v/>
      </c>
      <c r="D21" s="26">
        <f>B21-C21</f>
        <v/>
      </c>
      <c r="F21" s="33" t="inlineStr">
        <is>
          <t>Coeff  c  (constant)</t>
        </is>
      </c>
      <c r="G21" s="34">
        <f>INDEX(LINEST(B19:B26,J19:K26),1,3)</f>
        <v/>
      </c>
      <c r="H21" s="29" t="inlineStr">
        <is>
          <t>mm</t>
        </is>
      </c>
      <c r="J21" s="30">
        <f>A21</f>
        <v/>
      </c>
      <c r="K21" s="31">
        <f>A21^2</f>
        <v/>
      </c>
    </row>
    <row r="22">
      <c r="A22" s="25" t="n">
        <v>95</v>
      </c>
      <c r="B22" s="26">
        <f>#REF!</f>
        <v/>
      </c>
      <c r="C22" s="26">
        <f>$G$19*A22^2+$G$20*A22+$G$21</f>
        <v/>
      </c>
      <c r="D22" s="26">
        <f>B22-C22</f>
        <v/>
      </c>
      <c r="F22" s="27" t="inlineStr">
        <is>
          <t>R²</t>
        </is>
      </c>
      <c r="G22" s="35">
        <f>1-SUMPRODUCT((B19:B26-(G19*A19:A26^2+G20*A19:A26+G21))^2)/SUMPRODUCT((B19:B26-AVERAGE(B19:B26))^2)</f>
        <v/>
      </c>
      <c r="H22" s="29" t="inlineStr">
        <is>
          <t>—</t>
        </is>
      </c>
      <c r="J22" s="30">
        <f>A22</f>
        <v/>
      </c>
      <c r="K22" s="31">
        <f>A22^2</f>
        <v/>
      </c>
    </row>
    <row r="23">
      <c r="A23" s="25" t="n">
        <v>100</v>
      </c>
      <c r="B23" s="26">
        <f>#REF!</f>
        <v/>
      </c>
      <c r="C23" s="26">
        <f>$G$19*A23^2+$G$20*A23+$G$21</f>
        <v/>
      </c>
      <c r="D23" s="26">
        <f>B23-C23</f>
        <v/>
      </c>
      <c r="F23" s="33" t="inlineStr">
        <is>
          <t>Degree</t>
        </is>
      </c>
      <c r="G23" s="36" t="n">
        <v>2</v>
      </c>
      <c r="H23" s="29" t="inlineStr">
        <is>
          <t>—</t>
        </is>
      </c>
      <c r="J23" s="30">
        <f>A23</f>
        <v/>
      </c>
      <c r="K23" s="31">
        <f>A23^2</f>
        <v/>
      </c>
    </row>
    <row r="24">
      <c r="A24" s="25" t="n">
        <v>105</v>
      </c>
      <c r="B24" s="26">
        <f>#REF!</f>
        <v/>
      </c>
      <c r="C24" s="26">
        <f>$G$19*A24^2+$G$20*A24+$G$21</f>
        <v/>
      </c>
      <c r="D24" s="26">
        <f>B24-C24</f>
        <v/>
      </c>
      <c r="J24" s="30">
        <f>A24</f>
        <v/>
      </c>
      <c r="K24" s="31">
        <f>A24^2</f>
        <v/>
      </c>
    </row>
    <row r="25">
      <c r="A25" s="25" t="n">
        <v>110</v>
      </c>
      <c r="B25" s="26">
        <f>#REF!</f>
        <v/>
      </c>
      <c r="C25" s="26">
        <f>$G$19*A25^2+$G$20*A25+$G$21</f>
        <v/>
      </c>
      <c r="D25" s="26">
        <f>B25-C25</f>
        <v/>
      </c>
      <c r="J25" s="30">
        <f>A25</f>
        <v/>
      </c>
      <c r="K25" s="31">
        <f>A25^2</f>
        <v/>
      </c>
    </row>
    <row r="26">
      <c r="A26" s="25" t="n">
        <v>115</v>
      </c>
      <c r="B26" s="26">
        <f>#REF!</f>
        <v/>
      </c>
      <c r="C26" s="26">
        <f>$G$19*A26^2+$G$20*A26+$G$21</f>
        <v/>
      </c>
      <c r="D26" s="26">
        <f>B26-C26</f>
        <v/>
      </c>
      <c r="J26" s="30">
        <f>A26</f>
        <v/>
      </c>
      <c r="K26" s="31">
        <f>A26^2</f>
        <v/>
      </c>
    </row>
    <row r="28">
      <c r="A28" s="66" t="inlineStr">
        <is>
          <t>Section 3 — σ Consistency Assessment</t>
        </is>
      </c>
    </row>
    <row r="29">
      <c r="A29" s="15" t="inlineStr">
        <is>
          <t>L (mm)</t>
        </is>
      </c>
      <c r="B29" s="15" t="inlineStr">
        <is>
          <t>σx (mm)</t>
        </is>
      </c>
      <c r="C29" s="15" t="inlineStr">
        <is>
          <t>σy (mm)</t>
        </is>
      </c>
      <c r="D29" s="15" t="inlineStr">
        <is>
          <t>σx / σy</t>
        </is>
      </c>
      <c r="E29" s="15" t="inlineStr">
        <is>
          <t>PI width (mm)</t>
        </is>
      </c>
      <c r="F29" s="68" t="inlineStr">
        <is>
          <t>Assessment</t>
        </is>
      </c>
    </row>
    <row r="30">
      <c r="A30" s="2" t="n">
        <v>80</v>
      </c>
      <c r="B30" s="6">
        <f>C5</f>
        <v/>
      </c>
      <c r="C30" s="6">
        <f>H5</f>
        <v/>
      </c>
      <c r="D30" s="6">
        <f>B30/C30</f>
        <v/>
      </c>
      <c r="E30" s="6">
        <f>2*#REF!*#REF!*SQRT(1+1/#REF!)</f>
        <v/>
      </c>
      <c r="F30" s="64">
        <f>IF(#REF!&lt;25,"✅ σx acceptable","⚠️ σx elevated")&amp;"  |  "&amp;IF(#REF!&lt;#REF!,"✅ σy &lt; σx — straight","⚠️ σy ≥ σx")</f>
        <v/>
      </c>
    </row>
    <row r="31">
      <c r="A31" s="2" t="n">
        <v>85</v>
      </c>
      <c r="B31" s="6">
        <f>C6</f>
        <v/>
      </c>
      <c r="C31" s="6">
        <f>H6</f>
        <v/>
      </c>
      <c r="D31" s="6">
        <f>B31/C31</f>
        <v/>
      </c>
      <c r="E31" s="6">
        <f>2*#REF!*#REF!*SQRT(1+1/#REF!)</f>
        <v/>
      </c>
      <c r="F31" s="64">
        <f>IF(#REF!&lt;25,"✅ σx acceptable","⚠️ σx elevated")&amp;"  |  "&amp;IF(#REF!&lt;#REF!,"✅ σy &lt; σx — straight","⚠️ σy ≥ σx")</f>
        <v/>
      </c>
    </row>
    <row r="32">
      <c r="A32" s="2" t="n">
        <v>90</v>
      </c>
      <c r="B32" s="6">
        <f>C7</f>
        <v/>
      </c>
      <c r="C32" s="6">
        <f>H7</f>
        <v/>
      </c>
      <c r="D32" s="6">
        <f>B32/C32</f>
        <v/>
      </c>
      <c r="E32" s="6">
        <f>2*#REF!*#REF!*SQRT(1+1/#REF!)</f>
        <v/>
      </c>
      <c r="F32" s="64">
        <f>IF(#REF!&lt;25,"✅ σx acceptable","⚠️ σx elevated")&amp;"  |  "&amp;IF(#REF!&lt;#REF!,"✅ σy &lt; σx — straight","⚠️ σy ≥ σx")</f>
        <v/>
      </c>
    </row>
    <row r="33">
      <c r="A33" s="2" t="n">
        <v>95</v>
      </c>
      <c r="B33" s="6">
        <f>C8</f>
        <v/>
      </c>
      <c r="C33" s="6">
        <f>H8</f>
        <v/>
      </c>
      <c r="D33" s="6">
        <f>B33/C33</f>
        <v/>
      </c>
      <c r="E33" s="6">
        <f>2*#REF!*#REF!*SQRT(1+1/#REF!)</f>
        <v/>
      </c>
      <c r="F33" s="64">
        <f>IF(#REF!&lt;25,"✅ σx acceptable","⚠️ σx elevated")&amp;"  |  "&amp;IF(#REF!&lt;#REF!,"✅ σy &lt; σx — straight","⚠️ σy ≥ σx")</f>
        <v/>
      </c>
    </row>
    <row r="34">
      <c r="A34" s="2" t="n">
        <v>100</v>
      </c>
      <c r="B34" s="6">
        <f>C9</f>
        <v/>
      </c>
      <c r="C34" s="6">
        <f>H9</f>
        <v/>
      </c>
      <c r="D34" s="6">
        <f>B34/C34</f>
        <v/>
      </c>
      <c r="E34" s="6">
        <f>2*#REF!*#REF!*SQRT(1+1/#REF!)</f>
        <v/>
      </c>
      <c r="F34" s="64">
        <f>IF(#REF!&lt;25,"✅ σx acceptable","⚠️ σx elevated")&amp;"  |  "&amp;IF(#REF!&lt;#REF!,"✅ σy &lt; σx — straight","⚠️ σy ≥ σx")</f>
        <v/>
      </c>
    </row>
    <row r="35">
      <c r="A35" s="2" t="n">
        <v>105</v>
      </c>
      <c r="B35" s="6">
        <f>C10</f>
        <v/>
      </c>
      <c r="C35" s="6">
        <f>H10</f>
        <v/>
      </c>
      <c r="D35" s="6">
        <f>B35/C35</f>
        <v/>
      </c>
      <c r="E35" s="6">
        <f>2*#REF!*#REF!*SQRT(1+1/#REF!)</f>
        <v/>
      </c>
      <c r="F35" s="64">
        <f>IF(#REF!&lt;25,"✅ σx acceptable","⚠️ σx elevated")&amp;"  |  "&amp;IF(#REF!&lt;#REF!,"✅ σy &lt; σx — straight","⚠️ σy ≥ σx")</f>
        <v/>
      </c>
    </row>
    <row r="36">
      <c r="A36" s="2" t="n">
        <v>110</v>
      </c>
      <c r="B36" s="6">
        <f>C11</f>
        <v/>
      </c>
      <c r="C36" s="6">
        <f>H11</f>
        <v/>
      </c>
      <c r="D36" s="6">
        <f>B36/C36</f>
        <v/>
      </c>
      <c r="E36" s="6">
        <f>2*#REF!*#REF!*SQRT(1+1/#REF!)</f>
        <v/>
      </c>
      <c r="F36" s="64">
        <f>IF(#REF!&lt;25,"✅ σx acceptable","⚠️ σx elevated")&amp;"  |  "&amp;IF(#REF!&lt;#REF!,"✅ σy &lt; σx — straight","⚠️ σy ≥ σx")</f>
        <v/>
      </c>
    </row>
    <row r="37">
      <c r="A37" s="2" t="n">
        <v>115</v>
      </c>
      <c r="B37" s="6">
        <f>C12</f>
        <v/>
      </c>
      <c r="C37" s="6">
        <f>H12</f>
        <v/>
      </c>
      <c r="D37" s="6">
        <f>B37/C37</f>
        <v/>
      </c>
      <c r="E37" s="6">
        <f>2*#REF!*#REF!*SQRT(1+1/#REF!)</f>
        <v/>
      </c>
      <c r="F37" s="64">
        <f>IF(#REF!&lt;25,"✅ σx acceptable","⚠️ σx elevated")&amp;"  |  "&amp;IF(#REF!&lt;#REF!,"✅ σy &lt; σx — straight","⚠️ σy ≥ σx")</f>
        <v/>
      </c>
    </row>
  </sheetData>
  <mergeCells count="13">
    <mergeCell ref="F30:J30"/>
    <mergeCell ref="A1:J1"/>
    <mergeCell ref="F29:J29"/>
    <mergeCell ref="F37:J37"/>
    <mergeCell ref="A17:J17"/>
    <mergeCell ref="F34:J34"/>
    <mergeCell ref="A3:J3"/>
    <mergeCell ref="F36:J36"/>
    <mergeCell ref="F33:J33"/>
    <mergeCell ref="F31:J31"/>
    <mergeCell ref="F35:J35"/>
    <mergeCell ref="A28:J28"/>
    <mergeCell ref="F32:J3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2026-04-22T18:46:13Z</dcterms:created>
  <dcterms:modified xmlns:dcterms="http://purl.org/dc/terms/" xmlns:xsi="http://www.w3.org/2001/XMLSchema-instance" xsi:type="dcterms:W3CDTF">2026-05-27T16:35:26Z</dcterms:modified>
  <cp:lastModifiedBy>thakorn sowa</cp:lastModifiedBy>
  <cp:revision>0</cp:revision>
</cp:coreProperties>
</file>